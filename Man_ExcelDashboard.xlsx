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C:\Users\mantr\Downloads\"/>
    </mc:Choice>
  </mc:AlternateContent>
  <xr:revisionPtr revIDLastSave="0" documentId="13_ncr:1_{2F79691F-49D2-48C9-9DF8-02633B1F649F}" xr6:coauthVersionLast="47" xr6:coauthVersionMax="47" xr10:uidLastSave="{00000000-0000-0000-0000-000000000000}"/>
  <bookViews>
    <workbookView xWindow="-12" yWindow="-12" windowWidth="23064" windowHeight="13704" tabRatio="500" xr2:uid="{00000000-000D-0000-FFFF-FFFF00000000}"/>
  </bookViews>
  <sheets>
    <sheet name="DashBoard" sheetId="6" r:id="rId1"/>
    <sheet name="Apple Data Cleaning and Formula" sheetId="1" r:id="rId2"/>
    <sheet name="Total Revenue BY Region" sheetId="2" state="hidden" r:id="rId3"/>
    <sheet name="Unit Sold BY Products" sheetId="3" state="hidden" r:id="rId4"/>
    <sheet name="P_Model &amp; Revenue" sheetId="4" state="hidden" r:id="rId5"/>
    <sheet name="Region Wise Top Products" sheetId="5" state="hidden" r:id="rId6"/>
  </sheets>
  <definedNames>
    <definedName name="Slicer_Products">#N/A</definedName>
    <definedName name="Slicer_Products_Model1">#N/A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M1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N7" i="1"/>
</calcChain>
</file>

<file path=xl/sharedStrings.xml><?xml version="1.0" encoding="utf-8"?>
<sst xmlns="http://schemas.openxmlformats.org/spreadsheetml/2006/main" count="1561" uniqueCount="37">
  <si>
    <t>Sale_ID</t>
  </si>
  <si>
    <t>Region</t>
  </si>
  <si>
    <t>Units_Sold</t>
  </si>
  <si>
    <t>Unit_Price_INR</t>
  </si>
  <si>
    <t>Revenue_INR</t>
  </si>
  <si>
    <t>MacBook</t>
  </si>
  <si>
    <t>MacBook Air</t>
  </si>
  <si>
    <t>USA</t>
  </si>
  <si>
    <t>MacBook Pro 16</t>
  </si>
  <si>
    <t>Canada</t>
  </si>
  <si>
    <t>MacBook Pro 14</t>
  </si>
  <si>
    <t>iPhone</t>
  </si>
  <si>
    <t>iPhone 13</t>
  </si>
  <si>
    <t>UK</t>
  </si>
  <si>
    <t>Australia</t>
  </si>
  <si>
    <t>iPhone 15</t>
  </si>
  <si>
    <t>iPad</t>
  </si>
  <si>
    <t>iPad Mini</t>
  </si>
  <si>
    <t>iPad Air</t>
  </si>
  <si>
    <t>iPhone 14</t>
  </si>
  <si>
    <t>iPad Pro</t>
  </si>
  <si>
    <t>India</t>
  </si>
  <si>
    <t>P_Name</t>
  </si>
  <si>
    <t>Unit Price</t>
  </si>
  <si>
    <t>XLOOKUP</t>
  </si>
  <si>
    <t>ipad mini</t>
  </si>
  <si>
    <t>Conditional Revenue</t>
  </si>
  <si>
    <t xml:space="preserve"> Index and Match</t>
  </si>
  <si>
    <t>Sale id</t>
  </si>
  <si>
    <t>Products Model</t>
  </si>
  <si>
    <t>Products</t>
  </si>
  <si>
    <t>Product Category</t>
  </si>
  <si>
    <t>Row Labels</t>
  </si>
  <si>
    <t>Grand Total</t>
  </si>
  <si>
    <t>Sum of Revenue_INR</t>
  </si>
  <si>
    <t>Sum of Units_Sold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</si>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</sst>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0"/>
      <name val="Arial"/>
      <family val="2"/>
    </font>
    <font>
      <sz val="11"/>
      <color theme="1"/>
      <name val="Arial"/>
      <family val="2"/>
      <scheme val="minor"/>
    </font>
    <font>
      <b/>
      <sz val="10"/>
      <name val="Arial"/>
      <family val="2"/>
    </font>
    <font>
      <b/>
      <sz val="11"/>
      <color theme="1"/>
      <name val="Arial"/>
      <family val="2"/>
      <scheme val="minor"/>
    </font>
    <font>
      <b/>
      <sz val="16"/>
      <name val="Arial"/>
      <family val="2"/>
    </font>
  </fonts>
  <fills count="6">
    <fill>
      <patternFill patternType="none"/>
    </fill>
    <fill>
      <patternFill patternType="gray125"/>
    </fill>
    <fill>
      <patternFill patternType="solid">
        <fgColor theme="2" tint="-0.14999847407452621"/>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7"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0" fillId="0" borderId="0" xfId="0" applyAlignment="1">
      <alignment horizontal="center" vertical="center"/>
    </xf>
    <xf numFmtId="164" fontId="0" fillId="0" borderId="0" xfId="0" applyNumberFormat="1"/>
    <xf numFmtId="164" fontId="0" fillId="0" borderId="0" xfId="0" applyNumberFormat="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2" fillId="0" borderId="1" xfId="0" pivotButton="1" applyFont="1" applyBorder="1" applyAlignment="1">
      <alignment horizontal="center" vertical="center"/>
    </xf>
    <xf numFmtId="0" fontId="2" fillId="0" borderId="1" xfId="0" applyFont="1" applyBorder="1" applyAlignment="1">
      <alignment horizontal="center" vertical="center"/>
    </xf>
    <xf numFmtId="164" fontId="0" fillId="0" borderId="1" xfId="0" applyNumberFormat="1" applyBorder="1" applyAlignment="1">
      <alignment horizontal="center" vertical="center"/>
    </xf>
    <xf numFmtId="164" fontId="2" fillId="0" borderId="1" xfId="0" applyNumberFormat="1" applyFont="1" applyBorder="1" applyAlignment="1">
      <alignment horizontal="center" vertical="center"/>
    </xf>
    <xf numFmtId="0" fontId="0" fillId="0" borderId="1" xfId="0" pivotButton="1" applyBorder="1" applyAlignment="1">
      <alignment horizontal="center" vertical="center"/>
    </xf>
    <xf numFmtId="0" fontId="0" fillId="2" borderId="0" xfId="0" applyFill="1"/>
    <xf numFmtId="0" fontId="0" fillId="3" borderId="0" xfId="0" applyFill="1"/>
    <xf numFmtId="0" fontId="0" fillId="4" borderId="0" xfId="0" applyFill="1"/>
    <xf numFmtId="0" fontId="0" fillId="5" borderId="0" xfId="0" applyFill="1"/>
    <xf numFmtId="0" fontId="4" fillId="0" borderId="0" xfId="0" applyFont="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cellXfs>
  <cellStyles count="1">
    <cellStyle name="Normal" xfId="0" builtinId="0"/>
  </cellStyles>
  <dxfs count="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[Man_ExcelDashboard.xlsx]Unit Sold BY Products!Unit Sold By Products</c:name>
    <c:fmtId val="5"/>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dLbl>
          <c:idx val="0"/>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w="9525" cap="flat" cmpd="sng" algn="ctr">
            <a:solidFill>
              <a:schemeClr val="dk1">
                <a:tint val="88500"/>
                <a:shade val="95000"/>
              </a:schemeClr>
            </a:solidFill>
            <a:round/>
          </a:ln>
          <a:effectLst/>
          <a:sp3d contourW="9525">
            <a:contourClr>
              <a:schemeClr val="dk1">
                <a:tint val="88500"/>
                <a:shade val="95000"/>
              </a:schemeClr>
            </a:contourClr>
          </a:sp3d>
        </c:spPr>
        <c:marker>
          <c:symbol val="circle"/>
          <c:size val="4"/>
          <c:spPr>
            <a:solidFill>
              <a:schemeClr val="dk1">
                <a:tint val="88500"/>
              </a:schemeClr>
            </a:solidFill>
            <a:ln w="9525" cap="flat" cmpd="sng" algn="ctr">
              <a:solidFill>
                <a:schemeClr val="dk1">
                  <a:tint val="88500"/>
                  <a:shade val="95000"/>
                </a:schemeClr>
              </a:solidFill>
              <a:round/>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Sold BY Products'!$B$3</c:f>
              <c:strCache>
                <c:ptCount val="1"/>
                <c:pt idx="0">
                  <c:v>Total</c:v>
                </c:pt>
              </c:strCache>
            </c:strRef>
          </c:tx>
          <c:spPr>
            <a:solidFill>
              <a:schemeClr val="dk1">
                <a:tint val="88500"/>
              </a:schemeClr>
            </a:solidFill>
            <a:ln w="9525" cap="flat" cmpd="sng" algn="ctr">
              <a:solidFill>
                <a:schemeClr val="dk1">
                  <a:tint val="88500"/>
                  <a:shade val="95000"/>
                </a:schemeClr>
              </a:solidFill>
              <a:round/>
            </a:ln>
            <a:effectLst/>
            <a:sp3d contourW="9525">
              <a:contourClr>
                <a:schemeClr val="dk1">
                  <a:tint val="88500"/>
                  <a:shade val="95000"/>
                </a:schemeClr>
              </a:contourClr>
            </a:sp3d>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'Unit Sold BY Products'!$A$4:$A$7</c:f>
              <c:strCache>
                <c:ptCount val="3"/>
                <c:pt idx="0">
                  <c:v>iPad</c:v>
                </c:pt>
                <c:pt idx="1">
                  <c:v>iPhone</c:v>
                </c:pt>
                <c:pt idx="2">
                  <c:v>MacBook</c:v>
                </c:pt>
              </c:strCache>
            </c:strRef>
          </c:cat>
          <c:val>
            <c:numRef>
              <c:f>'Unit Sold BY Products'!$B$4:$B$7</c:f>
              <c:numCache>
                <c:formatCode>General</c:formatCode>
                <c:ptCount val="3"/>
                <c:pt idx="0">
                  <c:v>1669</c:v>
                </c:pt>
                <c:pt idx="1">
                  <c:v>1630</c:v>
                </c:pt>
                <c:pt idx="2">
                  <c:v>1589</c:v>
                </c:pt>
              </c:numCache>
            </c:numRef>
          </c:val>
          <c:extLst>
            <c:ext xmlns:c16="http://schemas.microsoft.com/office/drawing/2014/chart" uri="{C3380CC4-5D6E-409C-BE32-E72D297353CC}">
              <c16:uniqueId val="{00000000-F66E-405F-B6E1-44CB01CF2F76}"/>
            </c:ext>
          </c:extLst>
        </c:ser>
        <c:dLbls>
          <c:showLegendKey val="0"/>
          <c:showVal val="0"/>
          <c:showCatName val="0"/>
          <c:showSerName val="0"/>
          <c:showPercent val="0"/>
          <c:showBubbleSize val="0"/>
        </c:dLbls>
        <c:gapWidth val="150"/>
        <c:shape val="box"/>
        <c:axId val="1611372927"/>
        <c:axId val="1611373887"/>
        <c:axId val="0"/>
      </c:bar3DChart>
      <c:catAx>
        <c:axId val="161137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1373887"/>
        <c:crosses val="autoZero"/>
        <c:auto val="1"/>
        <c:lblAlgn val="ctr"/>
        <c:lblOffset val="100"/>
        <c:noMultiLvlLbl val="0"/>
      </c:catAx>
      <c:valAx>
        <c:axId val="161137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1137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[Man_ExcelDashboard.xlsx]Region Wise Top Products!Region Wise Top Producys</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1"/>
        <c:spPr>
          <a:solidFill>
            <a:schemeClr val="accent2">
              <a:tint val="54000"/>
            </a:schemeClr>
          </a:solidFill>
          <a:ln>
            <a:noFill/>
          </a:ln>
          <a:effectLst>
            <a:outerShdw blurRad="254000" sx="102000" sy="102000" algn="ctr" rotWithShape="0">
              <a:prstClr val="black">
                <a:alpha val="20000"/>
              </a:prstClr>
            </a:outerShdw>
          </a:effectLst>
          <a:sp3d/>
        </c:spPr>
      </c:pivotFmt>
      <c:pivotFmt>
        <c:idx val="22"/>
        <c:spPr>
          <a:solidFill>
            <a:schemeClr val="accent2">
              <a:tint val="77000"/>
            </a:schemeClr>
          </a:solidFill>
          <a:ln>
            <a:noFill/>
          </a:ln>
          <a:effectLst>
            <a:outerShdw blurRad="254000" sx="102000" sy="102000" algn="ctr" rotWithShape="0">
              <a:prstClr val="black">
                <a:alpha val="20000"/>
              </a:prstClr>
            </a:outerShdw>
          </a:effectLst>
          <a:sp3d/>
        </c:spPr>
      </c:pivotFmt>
      <c:pivotFmt>
        <c:idx val="23"/>
        <c:spPr>
          <a:solidFill>
            <a:schemeClr val="accent2"/>
          </a:solidFill>
          <a:ln>
            <a:noFill/>
          </a:ln>
          <a:effectLst>
            <a:outerShdw blurRad="254000" sx="102000" sy="102000" algn="ctr" rotWithShape="0">
              <a:prstClr val="black">
                <a:alpha val="20000"/>
              </a:prstClr>
            </a:outerShdw>
          </a:effectLst>
          <a:sp3d/>
        </c:spPr>
      </c:pivotFmt>
      <c:pivotFmt>
        <c:idx val="24"/>
        <c:spPr>
          <a:solidFill>
            <a:schemeClr val="accent2">
              <a:shade val="76000"/>
            </a:schemeClr>
          </a:solidFill>
          <a:ln>
            <a:noFill/>
          </a:ln>
          <a:effectLst>
            <a:outerShdw blurRad="254000" sx="102000" sy="102000" algn="ctr" rotWithShape="0">
              <a:prstClr val="black">
                <a:alpha val="20000"/>
              </a:prstClr>
            </a:outerShdw>
          </a:effectLst>
          <a:sp3d/>
        </c:spPr>
      </c:pivotFmt>
      <c:pivotFmt>
        <c:idx val="25"/>
        <c:spPr>
          <a:solidFill>
            <a:schemeClr val="accent2">
              <a:shade val="53000"/>
            </a:schemeClr>
          </a:solidFill>
          <a:ln>
            <a:noFill/>
          </a:ln>
          <a:effectLst>
            <a:outerShdw blurRad="254000" sx="102000" sy="102000" algn="ctr" rotWithShape="0">
              <a:prstClr val="black">
                <a:alpha val="20000"/>
              </a:prstClr>
            </a:outerShdw>
          </a:effectLst>
          <a:sp3d/>
        </c:spPr>
      </c:pivotFmt>
      <c:pivotFmt>
        <c:idx val="26"/>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dLbl>
          <c:idx val="0"/>
          <c:dLblPos val="inEnd"/>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tint val="54000"/>
            </a:schemeClr>
          </a:solidFill>
          <a:ln>
            <a:noFill/>
          </a:ln>
          <a:effectLst>
            <a:outerShdw blurRad="254000" sx="102000" sy="102000" algn="ctr" rotWithShape="0">
              <a:prstClr val="black">
                <a:alpha val="20000"/>
              </a:prstClr>
            </a:outerShdw>
          </a:effectLst>
          <a:sp3d/>
        </c:spPr>
      </c:pivotFmt>
      <c:pivotFmt>
        <c:idx val="36"/>
        <c:spPr>
          <a:solidFill>
            <a:schemeClr val="accent2">
              <a:tint val="77000"/>
            </a:schemeClr>
          </a:solidFill>
          <a:ln>
            <a:noFill/>
          </a:ln>
          <a:effectLst>
            <a:outerShdw blurRad="254000" sx="102000" sy="102000" algn="ctr" rotWithShape="0">
              <a:prstClr val="black">
                <a:alpha val="20000"/>
              </a:prstClr>
            </a:outerShdw>
          </a:effectLst>
          <a:sp3d/>
        </c:spPr>
      </c:pivotFmt>
      <c:pivotFmt>
        <c:idx val="37"/>
        <c:spPr>
          <a:solidFill>
            <a:schemeClr val="accent2"/>
          </a:solidFill>
          <a:ln>
            <a:noFill/>
          </a:ln>
          <a:effectLst>
            <a:outerShdw blurRad="254000" sx="102000" sy="102000" algn="ctr" rotWithShape="0">
              <a:prstClr val="black">
                <a:alpha val="20000"/>
              </a:prstClr>
            </a:outerShdw>
          </a:effectLst>
          <a:sp3d/>
        </c:spPr>
      </c:pivotFmt>
      <c:pivotFmt>
        <c:idx val="38"/>
        <c:spPr>
          <a:solidFill>
            <a:schemeClr val="accent2">
              <a:shade val="76000"/>
            </a:schemeClr>
          </a:solidFill>
          <a:ln>
            <a:noFill/>
          </a:ln>
          <a:effectLst>
            <a:outerShdw blurRad="254000" sx="102000" sy="102000" algn="ctr" rotWithShape="0">
              <a:prstClr val="black">
                <a:alpha val="20000"/>
              </a:prstClr>
            </a:outerShdw>
          </a:effectLst>
          <a:sp3d/>
        </c:spPr>
      </c:pivotFmt>
      <c:pivotFmt>
        <c:idx val="39"/>
        <c:spPr>
          <a:solidFill>
            <a:schemeClr val="accent2">
              <a:shade val="53000"/>
            </a:schemeClr>
          </a:solidFill>
          <a:ln>
            <a:noFill/>
          </a:ln>
          <a:effectLst>
            <a:outerShdw blurRad="254000" sx="102000" sy="102000" algn="ctr" rotWithShape="0">
              <a:prstClr val="black">
                <a:alpha val="20000"/>
              </a:prstClr>
            </a:outerShdw>
          </a:effectLst>
          <a:sp3d/>
        </c:spPr>
      </c:pivotFmt>
      <c:pivotFmt>
        <c:idx val="40"/>
        <c:spPr>
          <a:solidFill>
            <a:schemeClr val="accent2">
              <a:tint val="54000"/>
            </a:schemeClr>
          </a:solidFill>
          <a:ln>
            <a:noFill/>
          </a:ln>
          <a:effectLst>
            <a:outerShdw blurRad="254000" sx="102000" sy="102000" algn="ctr" rotWithShape="0">
              <a:prstClr val="black">
                <a:alpha val="20000"/>
              </a:prstClr>
            </a:outerShdw>
          </a:effectLst>
          <a:sp3d/>
        </c:spPr>
      </c:pivotFmt>
      <c:pivotFmt>
        <c:idx val="41"/>
        <c:spPr>
          <a:solidFill>
            <a:schemeClr val="accent2">
              <a:tint val="77000"/>
            </a:schemeClr>
          </a:solidFill>
          <a:ln>
            <a:noFill/>
          </a:ln>
          <a:effectLst>
            <a:outerShdw blurRad="254000" sx="102000" sy="102000" algn="ctr" rotWithShape="0">
              <a:prstClr val="black">
                <a:alpha val="20000"/>
              </a:prstClr>
            </a:outerShdw>
          </a:effectLst>
          <a:sp3d/>
        </c:spPr>
      </c:pivotFmt>
      <c:pivotFmt>
        <c:idx val="42"/>
        <c:spPr>
          <a:solidFill>
            <a:schemeClr val="accent2"/>
          </a:solidFill>
          <a:ln>
            <a:noFill/>
          </a:ln>
          <a:effectLst>
            <a:outerShdw blurRad="254000" sx="102000" sy="102000" algn="ctr" rotWithShape="0">
              <a:prstClr val="black">
                <a:alpha val="20000"/>
              </a:prstClr>
            </a:outerShdw>
          </a:effectLst>
          <a:sp3d/>
        </c:spPr>
      </c:pivotFmt>
      <c:pivotFmt>
        <c:idx val="43"/>
        <c:spPr>
          <a:solidFill>
            <a:schemeClr val="accent2">
              <a:shade val="76000"/>
            </a:schemeClr>
          </a:solidFill>
          <a:ln>
            <a:noFill/>
          </a:ln>
          <a:effectLst>
            <a:outerShdw blurRad="254000" sx="102000" sy="102000" algn="ctr" rotWithShape="0">
              <a:prstClr val="black">
                <a:alpha val="20000"/>
              </a:prstClr>
            </a:outerShdw>
          </a:effectLst>
          <a:sp3d/>
        </c:spPr>
      </c:pivotFmt>
      <c:pivotFmt>
        <c:idx val="44"/>
        <c:spPr>
          <a:solidFill>
            <a:schemeClr val="accent2">
              <a:shade val="53000"/>
            </a:schemeClr>
          </a:solidFill>
          <a:ln>
            <a:noFill/>
          </a:ln>
          <a:effectLst>
            <a:outerShdw blurRad="254000" sx="102000" sy="102000" algn="ctr" rotWithShape="0">
              <a:prstClr val="black">
                <a:alpha val="20000"/>
              </a:prstClr>
            </a:outerShdw>
          </a:effectLst>
          <a:sp3d/>
        </c:spPr>
      </c:pivotFmt>
      <c:pivotFmt>
        <c:idx val="45"/>
        <c:spPr>
          <a:solidFill>
            <a:schemeClr val="accent2">
              <a:tint val="54000"/>
            </a:schemeClr>
          </a:solidFill>
          <a:ln>
            <a:noFill/>
          </a:ln>
          <a:effectLst>
            <a:outerShdw blurRad="254000" sx="102000" sy="102000" algn="ctr" rotWithShape="0">
              <a:prstClr val="black">
                <a:alpha val="20000"/>
              </a:prstClr>
            </a:outerShdw>
          </a:effectLst>
          <a:sp3d/>
        </c:spPr>
      </c:pivotFmt>
      <c:pivotFmt>
        <c:idx val="46"/>
        <c:spPr>
          <a:solidFill>
            <a:schemeClr val="accent2">
              <a:tint val="77000"/>
            </a:schemeClr>
          </a:solidFill>
          <a:ln>
            <a:noFill/>
          </a:ln>
          <a:effectLst>
            <a:outerShdw blurRad="254000" sx="102000" sy="102000" algn="ctr" rotWithShape="0">
              <a:prstClr val="black">
                <a:alpha val="20000"/>
              </a:prstClr>
            </a:outerShdw>
          </a:effectLst>
          <a:sp3d/>
        </c:spPr>
      </c:pivotFmt>
      <c:pivotFmt>
        <c:idx val="47"/>
        <c:spPr>
          <a:solidFill>
            <a:schemeClr val="accent2"/>
          </a:solidFill>
          <a:ln>
            <a:noFill/>
          </a:ln>
          <a:effectLst>
            <a:outerShdw blurRad="254000" sx="102000" sy="102000" algn="ctr" rotWithShape="0">
              <a:prstClr val="black">
                <a:alpha val="20000"/>
              </a:prstClr>
            </a:outerShdw>
          </a:effectLst>
          <a:sp3d/>
        </c:spPr>
      </c:pivotFmt>
      <c:pivotFmt>
        <c:idx val="48"/>
        <c:spPr>
          <a:solidFill>
            <a:schemeClr val="accent2">
              <a:shade val="76000"/>
            </a:schemeClr>
          </a:solidFill>
          <a:ln>
            <a:noFill/>
          </a:ln>
          <a:effectLst>
            <a:outerShdw blurRad="254000" sx="102000" sy="102000" algn="ctr" rotWithShape="0">
              <a:prstClr val="black">
                <a:alpha val="20000"/>
              </a:prstClr>
            </a:outerShdw>
          </a:effectLst>
          <a:sp3d/>
        </c:spPr>
      </c:pivotFmt>
      <c:pivotFmt>
        <c:idx val="49"/>
        <c:spPr>
          <a:solidFill>
            <a:schemeClr val="accent2">
              <a:shade val="53000"/>
            </a:schemeClr>
          </a:solidFill>
          <a:ln>
            <a:noFill/>
          </a:ln>
          <a:effectLst>
            <a:outerShdw blurRad="254000" sx="102000" sy="102000" algn="ctr" rotWithShape="0">
              <a:prstClr val="black">
                <a:alpha val="20000"/>
              </a:prstClr>
            </a:outerShdw>
          </a:effectLst>
          <a:sp3d/>
        </c:spPr>
      </c:pivotFmt>
      <c:pivotFmt>
        <c:idx val="50"/>
        <c:spPr>
          <a:solidFill>
            <a:schemeClr val="accent2">
              <a:tint val="54000"/>
            </a:schemeClr>
          </a:solidFill>
          <a:ln>
            <a:noFill/>
          </a:ln>
          <a:effectLst>
            <a:outerShdw blurRad="254000" sx="102000" sy="102000" algn="ctr" rotWithShape="0">
              <a:prstClr val="black">
                <a:alpha val="20000"/>
              </a:prstClr>
            </a:outerShdw>
          </a:effectLst>
          <a:sp3d/>
        </c:spPr>
      </c:pivotFmt>
      <c:pivotFmt>
        <c:idx val="51"/>
        <c:spPr>
          <a:solidFill>
            <a:schemeClr val="accent2">
              <a:tint val="77000"/>
            </a:schemeClr>
          </a:solidFill>
          <a:ln>
            <a:noFill/>
          </a:ln>
          <a:effectLst>
            <a:outerShdw blurRad="254000" sx="102000" sy="102000" algn="ctr" rotWithShape="0">
              <a:prstClr val="black">
                <a:alpha val="20000"/>
              </a:prstClr>
            </a:outerShdw>
          </a:effectLst>
          <a:sp3d/>
        </c:spPr>
      </c:pivotFmt>
      <c:pivotFmt>
        <c:idx val="52"/>
        <c:spPr>
          <a:solidFill>
            <a:schemeClr val="accent2"/>
          </a:solidFill>
          <a:ln>
            <a:noFill/>
          </a:ln>
          <a:effectLst>
            <a:outerShdw blurRad="254000" sx="102000" sy="102000" algn="ctr" rotWithShape="0">
              <a:prstClr val="black">
                <a:alpha val="20000"/>
              </a:prstClr>
            </a:outerShdw>
          </a:effectLst>
          <a:sp3d/>
        </c:spPr>
      </c:pivotFmt>
      <c:pivotFmt>
        <c:idx val="53"/>
        <c:spPr>
          <a:solidFill>
            <a:schemeClr val="accent2">
              <a:shade val="76000"/>
            </a:schemeClr>
          </a:solidFill>
          <a:ln>
            <a:noFill/>
          </a:ln>
          <a:effectLst>
            <a:outerShdw blurRad="254000" sx="102000" sy="102000" algn="ctr" rotWithShape="0">
              <a:prstClr val="black">
                <a:alpha val="20000"/>
              </a:prstClr>
            </a:outerShdw>
          </a:effectLst>
          <a:sp3d/>
        </c:spPr>
      </c:pivotFmt>
      <c:pivotFmt>
        <c:idx val="54"/>
        <c:spPr>
          <a:solidFill>
            <a:schemeClr val="accent2">
              <a:shade val="53000"/>
            </a:schemeClr>
          </a:solidFill>
          <a:ln>
            <a:noFill/>
          </a:ln>
          <a:effectLst>
            <a:outerShdw blurRad="254000" sx="102000" sy="102000" algn="ctr" rotWithShape="0">
              <a:prstClr val="black">
                <a:alpha val="20000"/>
              </a:prstClr>
            </a:outerShdw>
          </a:effectLst>
          <a:sp3d/>
        </c:spPr>
      </c:pivotFmt>
      <c:pivotFmt>
        <c:idx val="55"/>
        <c:spPr>
          <a:solidFill>
            <a:schemeClr val="accent2">
              <a:tint val="54000"/>
            </a:schemeClr>
          </a:solidFill>
          <a:ln>
            <a:noFill/>
          </a:ln>
          <a:effectLst>
            <a:outerShdw blurRad="254000" sx="102000" sy="102000" algn="ctr" rotWithShape="0">
              <a:prstClr val="black">
                <a:alpha val="20000"/>
              </a:prstClr>
            </a:outerShdw>
          </a:effectLst>
          <a:sp3d/>
        </c:spPr>
      </c:pivotFmt>
      <c:pivotFmt>
        <c:idx val="56"/>
        <c:spPr>
          <a:solidFill>
            <a:schemeClr val="accent2">
              <a:tint val="77000"/>
            </a:schemeClr>
          </a:solidFill>
          <a:ln>
            <a:noFill/>
          </a:ln>
          <a:effectLst>
            <a:outerShdw blurRad="254000" sx="102000" sy="102000" algn="ctr" rotWithShape="0">
              <a:prstClr val="black">
                <a:alpha val="20000"/>
              </a:prstClr>
            </a:outerShdw>
          </a:effectLst>
          <a:sp3d/>
        </c:spPr>
      </c:pivotFmt>
      <c:pivotFmt>
        <c:idx val="57"/>
        <c:spPr>
          <a:solidFill>
            <a:schemeClr val="accent2"/>
          </a:solidFill>
          <a:ln>
            <a:noFill/>
          </a:ln>
          <a:effectLst>
            <a:outerShdw blurRad="254000" sx="102000" sy="102000" algn="ctr" rotWithShape="0">
              <a:prstClr val="black">
                <a:alpha val="20000"/>
              </a:prstClr>
            </a:outerShdw>
          </a:effectLst>
          <a:sp3d/>
        </c:spPr>
      </c:pivotFmt>
      <c:pivotFmt>
        <c:idx val="58"/>
        <c:spPr>
          <a:solidFill>
            <a:schemeClr val="accent2">
              <a:shade val="76000"/>
            </a:schemeClr>
          </a:solidFill>
          <a:ln>
            <a:noFill/>
          </a:ln>
          <a:effectLst>
            <a:outerShdw blurRad="254000" sx="102000" sy="102000" algn="ctr" rotWithShape="0">
              <a:prstClr val="black">
                <a:alpha val="20000"/>
              </a:prstClr>
            </a:outerShdw>
          </a:effectLst>
          <a:sp3d/>
        </c:spPr>
      </c:pivotFmt>
      <c:pivotFmt>
        <c:idx val="59"/>
        <c:spPr>
          <a:solidFill>
            <a:schemeClr val="accent2">
              <a:shade val="53000"/>
            </a:schemeClr>
          </a:solidFill>
          <a:ln>
            <a:noFill/>
          </a:ln>
          <a:effectLst>
            <a:outerShdw blurRad="254000" sx="102000" sy="102000" algn="ctr" rotWithShape="0">
              <a:prstClr val="black">
                <a:alpha val="20000"/>
              </a:prstClr>
            </a:outerShdw>
          </a:effectLst>
          <a:sp3d/>
        </c:spPr>
      </c:pivotFmt>
      <c:pivotFmt>
        <c:idx val="60"/>
        <c:spPr>
          <a:solidFill>
            <a:schemeClr val="accent2">
              <a:tint val="54000"/>
            </a:schemeClr>
          </a:solidFill>
          <a:ln>
            <a:noFill/>
          </a:ln>
          <a:effectLst>
            <a:outerShdw blurRad="254000" sx="102000" sy="102000" algn="ctr" rotWithShape="0">
              <a:prstClr val="black">
                <a:alpha val="20000"/>
              </a:prstClr>
            </a:outerShdw>
          </a:effectLst>
          <a:sp3d/>
        </c:spPr>
      </c:pivotFmt>
      <c:pivotFmt>
        <c:idx val="61"/>
        <c:spPr>
          <a:solidFill>
            <a:schemeClr val="accent2">
              <a:tint val="77000"/>
            </a:schemeClr>
          </a:solidFill>
          <a:ln>
            <a:noFill/>
          </a:ln>
          <a:effectLst>
            <a:outerShdw blurRad="254000" sx="102000" sy="102000" algn="ctr" rotWithShape="0">
              <a:prstClr val="black">
                <a:alpha val="20000"/>
              </a:prstClr>
            </a:outerShdw>
          </a:effectLst>
          <a:sp3d/>
        </c:spPr>
      </c:pivotFmt>
      <c:pivotFmt>
        <c:idx val="62"/>
        <c:spPr>
          <a:solidFill>
            <a:schemeClr val="accent2"/>
          </a:solidFill>
          <a:ln>
            <a:noFill/>
          </a:ln>
          <a:effectLst>
            <a:outerShdw blurRad="254000" sx="102000" sy="102000" algn="ctr" rotWithShape="0">
              <a:prstClr val="black">
                <a:alpha val="20000"/>
              </a:prstClr>
            </a:outerShdw>
          </a:effectLst>
          <a:sp3d/>
        </c:spPr>
      </c:pivotFmt>
      <c:pivotFmt>
        <c:idx val="63"/>
        <c:spPr>
          <a:solidFill>
            <a:schemeClr val="accent2">
              <a:shade val="76000"/>
            </a:schemeClr>
          </a:solidFill>
          <a:ln>
            <a:noFill/>
          </a:ln>
          <a:effectLst>
            <a:outerShdw blurRad="254000" sx="102000" sy="102000" algn="ctr" rotWithShape="0">
              <a:prstClr val="black">
                <a:alpha val="20000"/>
              </a:prstClr>
            </a:outerShdw>
          </a:effectLst>
          <a:sp3d/>
        </c:spPr>
      </c:pivotFmt>
      <c:pivotFmt>
        <c:idx val="64"/>
        <c:spPr>
          <a:solidFill>
            <a:schemeClr val="accent2">
              <a:shade val="53000"/>
            </a:schemeClr>
          </a:solidFill>
          <a:ln>
            <a:noFill/>
          </a:ln>
          <a:effectLst>
            <a:outerShdw blurRad="254000" sx="102000" sy="102000" algn="ctr" rotWithShape="0">
              <a:prstClr val="black">
                <a:alpha val="20000"/>
              </a:prstClr>
            </a:outerShdw>
          </a:effectLst>
          <a:sp3d/>
        </c:spPr>
      </c:pivotFmt>
      <c:pivotFmt>
        <c:idx val="65"/>
        <c:spPr>
          <a:solidFill>
            <a:schemeClr val="accent2">
              <a:tint val="54000"/>
            </a:schemeClr>
          </a:solidFill>
          <a:ln>
            <a:noFill/>
          </a:ln>
          <a:effectLst>
            <a:outerShdw blurRad="254000" sx="102000" sy="102000" algn="ctr" rotWithShape="0">
              <a:prstClr val="black">
                <a:alpha val="20000"/>
              </a:prstClr>
            </a:outerShdw>
          </a:effectLst>
          <a:sp3d/>
        </c:spPr>
      </c:pivotFmt>
      <c:pivotFmt>
        <c:idx val="66"/>
        <c:spPr>
          <a:solidFill>
            <a:schemeClr val="accent2">
              <a:tint val="77000"/>
            </a:schemeClr>
          </a:solidFill>
          <a:ln>
            <a:noFill/>
          </a:ln>
          <a:effectLst>
            <a:outerShdw blurRad="254000" sx="102000" sy="102000" algn="ctr" rotWithShape="0">
              <a:prstClr val="black">
                <a:alpha val="20000"/>
              </a:prstClr>
            </a:outerShdw>
          </a:effectLst>
          <a:sp3d/>
        </c:spPr>
      </c:pivotFmt>
      <c:pivotFmt>
        <c:idx val="67"/>
        <c:spPr>
          <a:solidFill>
            <a:schemeClr val="accent2"/>
          </a:solidFill>
          <a:ln>
            <a:noFill/>
          </a:ln>
          <a:effectLst>
            <a:outerShdw blurRad="254000" sx="102000" sy="102000" algn="ctr" rotWithShape="0">
              <a:prstClr val="black">
                <a:alpha val="20000"/>
              </a:prstClr>
            </a:outerShdw>
          </a:effectLst>
          <a:sp3d/>
        </c:spPr>
      </c:pivotFmt>
      <c:pivotFmt>
        <c:idx val="68"/>
        <c:spPr>
          <a:solidFill>
            <a:schemeClr val="accent2">
              <a:shade val="76000"/>
            </a:schemeClr>
          </a:solidFill>
          <a:ln>
            <a:noFill/>
          </a:ln>
          <a:effectLst>
            <a:outerShdw blurRad="254000" sx="102000" sy="102000" algn="ctr" rotWithShape="0">
              <a:prstClr val="black">
                <a:alpha val="20000"/>
              </a:prstClr>
            </a:outerShdw>
          </a:effectLst>
          <a:sp3d/>
        </c:spPr>
      </c:pivotFmt>
      <c:pivotFmt>
        <c:idx val="69"/>
        <c:spPr>
          <a:solidFill>
            <a:schemeClr val="accent2">
              <a:shade val="53000"/>
            </a:schemeClr>
          </a:solidFill>
          <a:ln>
            <a:noFill/>
          </a:ln>
          <a:effectLst>
            <a:outerShdw blurRad="254000" sx="102000" sy="102000" algn="ctr" rotWithShape="0">
              <a:prstClr val="black">
                <a:alpha val="20000"/>
              </a:prstClr>
            </a:outerShdw>
          </a:effectLst>
          <a:sp3d/>
        </c:spPr>
      </c:pivotFmt>
      <c:pivotFmt>
        <c:idx val="70"/>
        <c:spPr>
          <a:solidFill>
            <a:schemeClr val="accent2">
              <a:tint val="54000"/>
            </a:schemeClr>
          </a:solidFill>
          <a:ln>
            <a:noFill/>
          </a:ln>
          <a:effectLst>
            <a:outerShdw blurRad="254000" sx="102000" sy="102000" algn="ctr" rotWithShape="0">
              <a:prstClr val="black">
                <a:alpha val="20000"/>
              </a:prstClr>
            </a:outerShdw>
          </a:effectLst>
          <a:sp3d/>
        </c:spPr>
      </c:pivotFmt>
      <c:pivotFmt>
        <c:idx val="71"/>
        <c:spPr>
          <a:solidFill>
            <a:schemeClr val="accent2">
              <a:tint val="77000"/>
            </a:schemeClr>
          </a:solidFill>
          <a:ln>
            <a:noFill/>
          </a:ln>
          <a:effectLst>
            <a:outerShdw blurRad="254000" sx="102000" sy="102000" algn="ctr" rotWithShape="0">
              <a:prstClr val="black">
                <a:alpha val="20000"/>
              </a:prstClr>
            </a:outerShdw>
          </a:effectLst>
          <a:sp3d/>
        </c:spPr>
      </c:pivotFmt>
      <c:pivotFmt>
        <c:idx val="72"/>
        <c:spPr>
          <a:solidFill>
            <a:schemeClr val="accent2"/>
          </a:solidFill>
          <a:ln>
            <a:noFill/>
          </a:ln>
          <a:effectLst>
            <a:outerShdw blurRad="254000" sx="102000" sy="102000" algn="ctr" rotWithShape="0">
              <a:prstClr val="black">
                <a:alpha val="20000"/>
              </a:prstClr>
            </a:outerShdw>
          </a:effectLst>
          <a:sp3d/>
        </c:spPr>
      </c:pivotFmt>
      <c:pivotFmt>
        <c:idx val="73"/>
        <c:spPr>
          <a:solidFill>
            <a:schemeClr val="accent2">
              <a:shade val="76000"/>
            </a:schemeClr>
          </a:solidFill>
          <a:ln>
            <a:noFill/>
          </a:ln>
          <a:effectLst>
            <a:outerShdw blurRad="254000" sx="102000" sy="102000" algn="ctr" rotWithShape="0">
              <a:prstClr val="black">
                <a:alpha val="20000"/>
              </a:prstClr>
            </a:outerShdw>
          </a:effectLst>
          <a:sp3d/>
        </c:spPr>
      </c:pivotFmt>
      <c:pivotFmt>
        <c:idx val="74"/>
        <c:spPr>
          <a:solidFill>
            <a:schemeClr val="accent2">
              <a:shade val="53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Top Products'!$B$3:$B$4</c:f>
              <c:strCache>
                <c:ptCount val="1"/>
                <c:pt idx="0">
                  <c:v>iPad Air</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219-4A50-BE00-5511BA882861}"/>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219-4A50-BE00-5511BA882861}"/>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219-4A50-BE00-5511BA882861}"/>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219-4A50-BE00-5511BA882861}"/>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219-4A50-BE00-5511BA88286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Products'!$B$5:$B$10</c:f>
              <c:numCache>
                <c:formatCode>General</c:formatCode>
                <c:ptCount val="5"/>
                <c:pt idx="0">
                  <c:v>165</c:v>
                </c:pt>
                <c:pt idx="1">
                  <c:v>150</c:v>
                </c:pt>
                <c:pt idx="2">
                  <c:v>40</c:v>
                </c:pt>
                <c:pt idx="3">
                  <c:v>127</c:v>
                </c:pt>
                <c:pt idx="4">
                  <c:v>87</c:v>
                </c:pt>
              </c:numCache>
            </c:numRef>
          </c:val>
          <c:extLst>
            <c:ext xmlns:c16="http://schemas.microsoft.com/office/drawing/2014/chart" uri="{C3380CC4-5D6E-409C-BE32-E72D297353CC}">
              <c16:uniqueId val="{0000000A-4219-4A50-BE00-5511BA882861}"/>
            </c:ext>
          </c:extLst>
        </c:ser>
        <c:ser>
          <c:idx val="1"/>
          <c:order val="1"/>
          <c:tx>
            <c:strRef>
              <c:f>'Region Wise Top Products'!$C$3:$C$4</c:f>
              <c:strCache>
                <c:ptCount val="1"/>
                <c:pt idx="0">
                  <c:v>iPad Mini</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3-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4-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5-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6-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7-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Products'!$C$5:$C$10</c:f>
              <c:numCache>
                <c:formatCode>General</c:formatCode>
                <c:ptCount val="5"/>
                <c:pt idx="0">
                  <c:v>97</c:v>
                </c:pt>
                <c:pt idx="1">
                  <c:v>121</c:v>
                </c:pt>
                <c:pt idx="2">
                  <c:v>110</c:v>
                </c:pt>
                <c:pt idx="3">
                  <c:v>125</c:v>
                </c:pt>
                <c:pt idx="4">
                  <c:v>123</c:v>
                </c:pt>
              </c:numCache>
            </c:numRef>
          </c:val>
          <c:extLst>
            <c:ext xmlns:c16="http://schemas.microsoft.com/office/drawing/2014/chart" uri="{C3380CC4-5D6E-409C-BE32-E72D297353CC}">
              <c16:uniqueId val="{0000005B-5E32-464D-8EB2-6A85BB0279F8}"/>
            </c:ext>
          </c:extLst>
        </c:ser>
        <c:ser>
          <c:idx val="2"/>
          <c:order val="2"/>
          <c:tx>
            <c:strRef>
              <c:f>'Region Wise Top Products'!$D$3:$D$4</c:f>
              <c:strCache>
                <c:ptCount val="1"/>
                <c:pt idx="0">
                  <c:v>iPad Pro</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0C04-46FC-AD14-68A83C0276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0C04-46FC-AD14-68A83C0276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0C04-46FC-AD14-68A83C0276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0C04-46FC-AD14-68A83C0276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0C04-46FC-AD14-68A83C0276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'Region Wise Top Products'!$A$5:$A$10</c:f>
              <c:strCache>
                <c:ptCount val="5"/>
                <c:pt idx="0">
                  <c:v>Australia</c:v>
                </c:pt>
                <c:pt idx="1">
                  <c:v>Canada</c:v>
                </c:pt>
                <c:pt idx="2">
                  <c:v>India</c:v>
                </c:pt>
                <c:pt idx="3">
                  <c:v>UK</c:v>
                </c:pt>
                <c:pt idx="4">
                  <c:v>USA</c:v>
                </c:pt>
              </c:strCache>
            </c:strRef>
          </c:cat>
          <c:val>
            <c:numRef>
              <c:f>'Region Wise Top Products'!$D$5:$D$10</c:f>
              <c:numCache>
                <c:formatCode>General</c:formatCode>
                <c:ptCount val="5"/>
                <c:pt idx="0">
                  <c:v>96</c:v>
                </c:pt>
                <c:pt idx="1">
                  <c:v>132</c:v>
                </c:pt>
                <c:pt idx="2">
                  <c:v>114</c:v>
                </c:pt>
                <c:pt idx="3">
                  <c:v>126</c:v>
                </c:pt>
                <c:pt idx="4">
                  <c:v>56</c:v>
                </c:pt>
              </c:numCache>
            </c:numRef>
          </c:val>
          <c:extLst>
            <c:ext xmlns:c16="http://schemas.microsoft.com/office/drawing/2014/chart" uri="{C3380CC4-5D6E-409C-BE32-E72D297353CC}">
              <c16:uniqueId val="{0000005C-5E32-464D-8EB2-6A85BB0279F8}"/>
            </c:ext>
          </c:extLst>
        </c:ser>
        <c:ser>
          <c:idx val="3"/>
          <c:order val="3"/>
          <c:tx>
            <c:strRef>
              <c:f>'Region Wise Top Products'!$E$3:$E$4</c:f>
              <c:strCache>
                <c:ptCount val="1"/>
                <c:pt idx="0">
                  <c:v>iPhone 13</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8-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9-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A-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B-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C-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Products'!$E$5:$E$10</c:f>
              <c:numCache>
                <c:formatCode>General</c:formatCode>
                <c:ptCount val="5"/>
                <c:pt idx="0">
                  <c:v>134</c:v>
                </c:pt>
                <c:pt idx="1">
                  <c:v>134</c:v>
                </c:pt>
                <c:pt idx="2">
                  <c:v>110</c:v>
                </c:pt>
                <c:pt idx="3">
                  <c:v>121</c:v>
                </c:pt>
                <c:pt idx="4">
                  <c:v>138</c:v>
                </c:pt>
              </c:numCache>
            </c:numRef>
          </c:val>
          <c:extLst>
            <c:ext xmlns:c16="http://schemas.microsoft.com/office/drawing/2014/chart" uri="{C3380CC4-5D6E-409C-BE32-E72D297353CC}">
              <c16:uniqueId val="{0000005D-5E32-464D-8EB2-6A85BB0279F8}"/>
            </c:ext>
          </c:extLst>
        </c:ser>
        <c:ser>
          <c:idx val="4"/>
          <c:order val="4"/>
          <c:tx>
            <c:strRef>
              <c:f>'Region Wise Top Products'!$F$3:$F$4</c:f>
              <c:strCache>
                <c:ptCount val="1"/>
                <c:pt idx="0">
                  <c:v>iPhone 14</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D-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E-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6F-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0-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1-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Products'!$F$5:$F$10</c:f>
              <c:numCache>
                <c:formatCode>General</c:formatCode>
                <c:ptCount val="5"/>
                <c:pt idx="0">
                  <c:v>103</c:v>
                </c:pt>
                <c:pt idx="1">
                  <c:v>89</c:v>
                </c:pt>
                <c:pt idx="2">
                  <c:v>143</c:v>
                </c:pt>
                <c:pt idx="3">
                  <c:v>117</c:v>
                </c:pt>
                <c:pt idx="4">
                  <c:v>118</c:v>
                </c:pt>
              </c:numCache>
            </c:numRef>
          </c:val>
          <c:extLst>
            <c:ext xmlns:c16="http://schemas.microsoft.com/office/drawing/2014/chart" uri="{C3380CC4-5D6E-409C-BE32-E72D297353CC}">
              <c16:uniqueId val="{0000005E-5E32-464D-8EB2-6A85BB0279F8}"/>
            </c:ext>
          </c:extLst>
        </c:ser>
        <c:ser>
          <c:idx val="5"/>
          <c:order val="5"/>
          <c:tx>
            <c:strRef>
              <c:f>'Region Wise Top Products'!$G$3:$G$4</c:f>
              <c:strCache>
                <c:ptCount val="1"/>
                <c:pt idx="0">
                  <c:v>iPhone 15</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2-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3-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4-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5-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6-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Products'!$G$5:$G$10</c:f>
              <c:numCache>
                <c:formatCode>General</c:formatCode>
                <c:ptCount val="5"/>
                <c:pt idx="0">
                  <c:v>132</c:v>
                </c:pt>
                <c:pt idx="1">
                  <c:v>85</c:v>
                </c:pt>
                <c:pt idx="2">
                  <c:v>69</c:v>
                </c:pt>
                <c:pt idx="3">
                  <c:v>52</c:v>
                </c:pt>
                <c:pt idx="4">
                  <c:v>85</c:v>
                </c:pt>
              </c:numCache>
            </c:numRef>
          </c:val>
          <c:extLst>
            <c:ext xmlns:c16="http://schemas.microsoft.com/office/drawing/2014/chart" uri="{C3380CC4-5D6E-409C-BE32-E72D297353CC}">
              <c16:uniqueId val="{0000005F-5E32-464D-8EB2-6A85BB0279F8}"/>
            </c:ext>
          </c:extLst>
        </c:ser>
        <c:ser>
          <c:idx val="6"/>
          <c:order val="6"/>
          <c:tx>
            <c:strRef>
              <c:f>'Region Wise Top Products'!$H$3:$H$4</c:f>
              <c:strCache>
                <c:ptCount val="1"/>
                <c:pt idx="0">
                  <c:v>MacBook Air</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7-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8-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9-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A-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B-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Products'!$H$5:$H$10</c:f>
              <c:numCache>
                <c:formatCode>General</c:formatCode>
                <c:ptCount val="5"/>
                <c:pt idx="0">
                  <c:v>138</c:v>
                </c:pt>
                <c:pt idx="1">
                  <c:v>121</c:v>
                </c:pt>
                <c:pt idx="2">
                  <c:v>53</c:v>
                </c:pt>
                <c:pt idx="3">
                  <c:v>124</c:v>
                </c:pt>
                <c:pt idx="4">
                  <c:v>104</c:v>
                </c:pt>
              </c:numCache>
            </c:numRef>
          </c:val>
          <c:extLst>
            <c:ext xmlns:c16="http://schemas.microsoft.com/office/drawing/2014/chart" uri="{C3380CC4-5D6E-409C-BE32-E72D297353CC}">
              <c16:uniqueId val="{00000060-5E32-464D-8EB2-6A85BB0279F8}"/>
            </c:ext>
          </c:extLst>
        </c:ser>
        <c:ser>
          <c:idx val="7"/>
          <c:order val="7"/>
          <c:tx>
            <c:strRef>
              <c:f>'Region Wise Top Products'!$I$3:$I$4</c:f>
              <c:strCache>
                <c:ptCount val="1"/>
                <c:pt idx="0">
                  <c:v>MacBook Pro 14</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C-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D-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E-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7F-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0-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Products'!$I$5:$I$10</c:f>
              <c:numCache>
                <c:formatCode>General</c:formatCode>
                <c:ptCount val="5"/>
                <c:pt idx="0">
                  <c:v>167</c:v>
                </c:pt>
                <c:pt idx="1">
                  <c:v>127</c:v>
                </c:pt>
                <c:pt idx="2">
                  <c:v>93</c:v>
                </c:pt>
                <c:pt idx="3">
                  <c:v>89</c:v>
                </c:pt>
                <c:pt idx="4">
                  <c:v>79</c:v>
                </c:pt>
              </c:numCache>
            </c:numRef>
          </c:val>
          <c:extLst>
            <c:ext xmlns:c16="http://schemas.microsoft.com/office/drawing/2014/chart" uri="{C3380CC4-5D6E-409C-BE32-E72D297353CC}">
              <c16:uniqueId val="{00000061-5E32-464D-8EB2-6A85BB0279F8}"/>
            </c:ext>
          </c:extLst>
        </c:ser>
        <c:ser>
          <c:idx val="8"/>
          <c:order val="8"/>
          <c:tx>
            <c:strRef>
              <c:f>'Region Wise Top Products'!$J$3:$J$4</c:f>
              <c:strCache>
                <c:ptCount val="1"/>
                <c:pt idx="0">
                  <c:v>MacBook Pro 16</c:v>
                </c:pt>
              </c:strCache>
            </c:strRef>
          </c:tx>
          <c:dPt>
            <c:idx val="0"/>
            <c:bubble3D val="0"/>
            <c:spPr>
              <a:solidFill>
                <a:schemeClr val="accent2">
                  <a:tint val="54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1-5E32-464D-8EB2-6A85BB0279F8}"/>
              </c:ext>
            </c:extLst>
          </c:dPt>
          <c:dPt>
            <c:idx val="1"/>
            <c:bubble3D val="0"/>
            <c:spPr>
              <a:solidFill>
                <a:schemeClr val="accent2">
                  <a:tint val="77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2-5E32-464D-8EB2-6A85BB0279F8}"/>
              </c:ext>
            </c:extLst>
          </c:dPt>
          <c:dPt>
            <c:idx val="2"/>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3-5E32-464D-8EB2-6A85BB0279F8}"/>
              </c:ext>
            </c:extLst>
          </c:dPt>
          <c:dPt>
            <c:idx val="3"/>
            <c:bubble3D val="0"/>
            <c:spPr>
              <a:solidFill>
                <a:schemeClr val="accent2">
                  <a:shade val="7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4-5E32-464D-8EB2-6A85BB0279F8}"/>
              </c:ext>
            </c:extLst>
          </c:dPt>
          <c:dPt>
            <c:idx val="4"/>
            <c:bubble3D val="0"/>
            <c:spPr>
              <a:solidFill>
                <a:schemeClr val="accent2">
                  <a:shade val="53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85-5E32-464D-8EB2-6A85BB0279F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Products'!$J$5:$J$10</c:f>
              <c:numCache>
                <c:formatCode>General</c:formatCode>
                <c:ptCount val="5"/>
                <c:pt idx="0">
                  <c:v>53</c:v>
                </c:pt>
                <c:pt idx="1">
                  <c:v>102</c:v>
                </c:pt>
                <c:pt idx="2">
                  <c:v>165</c:v>
                </c:pt>
                <c:pt idx="3">
                  <c:v>149</c:v>
                </c:pt>
                <c:pt idx="4">
                  <c:v>25</c:v>
                </c:pt>
              </c:numCache>
            </c:numRef>
          </c:val>
          <c:extLst>
            <c:ext xmlns:c16="http://schemas.microsoft.com/office/drawing/2014/chart" uri="{C3380CC4-5D6E-409C-BE32-E72D297353CC}">
              <c16:uniqueId val="{00000062-5E32-464D-8EB2-6A85BB0279F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[Man_ExcelDashboard.xlsx]P_Model &amp; Revenue!P_Model &amp; revenuw</c:name>
    <c:fmtId val="7"/>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solidFill>
              <a:srgbClr val="FFFFFF"/>
            </a:solidFill>
            <a:ln>
              <a:solidFill>
                <a:srgbClr val="000000">
                  <a:tint val="885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tint val="885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cked"/>
        <c:varyColors val="0"/>
        <c:ser>
          <c:idx val="0"/>
          <c:order val="0"/>
          <c:tx>
            <c:strRef>
              <c:f>'P_Model &amp; Revenue'!$B$3</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solidFill>
                <a:srgbClr val="FFFFFF"/>
              </a:solidFill>
              <a:ln>
                <a:solidFill>
                  <a:srgbClr val="000000">
                    <a:tint val="885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tint val="885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'P_Model &amp; Revenue'!$A$4:$A$13</c:f>
              <c:strCache>
                <c:ptCount val="9"/>
                <c:pt idx="0">
                  <c:v>iPad Air</c:v>
                </c:pt>
                <c:pt idx="1">
                  <c:v>iPad Mini</c:v>
                </c:pt>
                <c:pt idx="2">
                  <c:v>iPad Pro</c:v>
                </c:pt>
                <c:pt idx="3">
                  <c:v>iPhone 13</c:v>
                </c:pt>
                <c:pt idx="4">
                  <c:v>iPhone 14</c:v>
                </c:pt>
                <c:pt idx="5">
                  <c:v>iPhone 15</c:v>
                </c:pt>
                <c:pt idx="6">
                  <c:v>MacBook Air</c:v>
                </c:pt>
                <c:pt idx="7">
                  <c:v>MacBook Pro 14</c:v>
                </c:pt>
                <c:pt idx="8">
                  <c:v>MacBook Pro 16</c:v>
                </c:pt>
              </c:strCache>
            </c:strRef>
          </c:cat>
          <c:val>
            <c:numRef>
              <c:f>'P_Model &amp; Revenue'!$B$4:$B$13</c:f>
              <c:numCache>
                <c:formatCode>"₹"\ #,##0.00</c:formatCode>
                <c:ptCount val="9"/>
                <c:pt idx="0">
                  <c:v>38934670</c:v>
                </c:pt>
                <c:pt idx="1">
                  <c:v>38852929</c:v>
                </c:pt>
                <c:pt idx="2">
                  <c:v>34217089</c:v>
                </c:pt>
                <c:pt idx="3">
                  <c:v>55473929</c:v>
                </c:pt>
                <c:pt idx="4">
                  <c:v>50368439</c:v>
                </c:pt>
                <c:pt idx="5">
                  <c:v>36146840</c:v>
                </c:pt>
                <c:pt idx="6">
                  <c:v>92566387</c:v>
                </c:pt>
                <c:pt idx="7">
                  <c:v>92109069</c:v>
                </c:pt>
                <c:pt idx="8">
                  <c:v>92586456</c:v>
                </c:pt>
              </c:numCache>
            </c:numRef>
          </c:val>
          <c:smooth val="0"/>
          <c:extLst>
            <c:ext xmlns:c16="http://schemas.microsoft.com/office/drawing/2014/chart" uri="{C3380CC4-5D6E-409C-BE32-E72D297353CC}">
              <c16:uniqueId val="{00000000-8947-455A-A8B2-3F5C1EA9032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11468927"/>
        <c:axId val="1611470367"/>
      </c:lineChart>
      <c:catAx>
        <c:axId val="161146892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11470367"/>
        <c:crosses val="autoZero"/>
        <c:auto val="1"/>
        <c:lblAlgn val="ctr"/>
        <c:lblOffset val="100"/>
        <c:noMultiLvlLbl val="0"/>
      </c:catAx>
      <c:valAx>
        <c:axId val="161147036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1146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[Man_ExcelDashboard.xlsx]Total Revenue BY Region!Total Revenue By Region</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Revenue BY Region'!$B$3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09FE-4EE2-B341-F31ECDA0FE8B}"/>
              </c:ext>
            </c:extLst>
          </c:dPt>
          <c:dPt>
            <c:idx val="1"/>
            <c:bubble3D val="0"/>
            <c:spPr>
              <a:solidFill>
                <a:schemeClr val="accent2"/>
              </a:solidFill>
              <a:ln>
                <a:noFill/>
              </a:ln>
              <a:effectLst/>
              <a:sp3d/>
            </c:spPr>
            <c:extLst>
              <c:ext xmlns:c16="http://schemas.microsoft.com/office/drawing/2014/chart" uri="{C3380CC4-5D6E-409C-BE32-E72D297353CC}">
                <c16:uniqueId val="{00000003-09FE-4EE2-B341-F31ECDA0FE8B}"/>
              </c:ext>
            </c:extLst>
          </c:dPt>
          <c:dPt>
            <c:idx val="2"/>
            <c:bubble3D val="0"/>
            <c:spPr>
              <a:solidFill>
                <a:schemeClr val="accent3"/>
              </a:solidFill>
              <a:ln>
                <a:noFill/>
              </a:ln>
              <a:effectLst/>
              <a:sp3d/>
            </c:spPr>
            <c:extLst>
              <c:ext xmlns:c16="http://schemas.microsoft.com/office/drawing/2014/chart" uri="{C3380CC4-5D6E-409C-BE32-E72D297353CC}">
                <c16:uniqueId val="{00000005-09FE-4EE2-B341-F31ECDA0FE8B}"/>
              </c:ext>
            </c:extLst>
          </c:dPt>
          <c:dPt>
            <c:idx val="3"/>
            <c:bubble3D val="0"/>
            <c:spPr>
              <a:solidFill>
                <a:schemeClr val="accent4"/>
              </a:solidFill>
              <a:ln>
                <a:noFill/>
              </a:ln>
              <a:effectLst/>
              <a:sp3d/>
            </c:spPr>
            <c:extLst>
              <c:ext xmlns:c16="http://schemas.microsoft.com/office/drawing/2014/chart" uri="{C3380CC4-5D6E-409C-BE32-E72D297353CC}">
                <c16:uniqueId val="{00000007-09FE-4EE2-B341-F31ECDA0FE8B}"/>
              </c:ext>
            </c:extLst>
          </c:dPt>
          <c:dPt>
            <c:idx val="4"/>
            <c:bubble3D val="0"/>
            <c:spPr>
              <a:solidFill>
                <a:schemeClr val="accent5"/>
              </a:solidFill>
              <a:ln>
                <a:noFill/>
              </a:ln>
              <a:effectLst/>
              <a:sp3d/>
            </c:spPr>
            <c:extLst>
              <c:ext xmlns:c16="http://schemas.microsoft.com/office/drawing/2014/chart" uri="{C3380CC4-5D6E-409C-BE32-E72D297353CC}">
                <c16:uniqueId val="{00000009-09FE-4EE2-B341-F31ECDA0FE8B}"/>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'Total Revenue BY Region'!$A$4:$A$9</c:f>
              <c:strCache>
                <c:ptCount val="5"/>
                <c:pt idx="0">
                  <c:v>Australia</c:v>
                </c:pt>
                <c:pt idx="1">
                  <c:v>Canada</c:v>
                </c:pt>
                <c:pt idx="2">
                  <c:v>India</c:v>
                </c:pt>
                <c:pt idx="3">
                  <c:v>UK</c:v>
                </c:pt>
                <c:pt idx="4">
                  <c:v>USA</c:v>
                </c:pt>
              </c:strCache>
            </c:strRef>
          </c:cat>
          <c:val>
            <c:numRef>
              <c:f>'Total Revenue BY Region'!$B$4:$B$9</c:f>
              <c:numCache>
                <c:formatCode>"₹"\ #,##0.00</c:formatCode>
                <c:ptCount val="5"/>
                <c:pt idx="0">
                  <c:v>119732129</c:v>
                </c:pt>
                <c:pt idx="1">
                  <c:v>114476858</c:v>
                </c:pt>
                <c:pt idx="2">
                  <c:v>100717295</c:v>
                </c:pt>
                <c:pt idx="3">
                  <c:v>114016666</c:v>
                </c:pt>
                <c:pt idx="4">
                  <c:v>82312860</c:v>
                </c:pt>
              </c:numCache>
            </c:numRef>
          </c:val>
          <c:extLst>
            <c:ext xmlns:c16="http://schemas.microsoft.com/office/drawing/2014/chart" uri="{C3380CC4-5D6E-409C-BE32-E72D297353CC}">
              <c16:uniqueId val="{00000000-379B-42D8-B500-A29CD85B8B2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[Man_ExcelDashboard.xlsx]Unit Sold BY Products!Unit Sold By Products</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0369A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ext>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'Unit Sold BY Products'!$B$3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8A303">
                  <a:alpha val="30000"/>
                </a:srgbClr>
              </a:solidFill>
              <a:ln>
                <a:solidFill>
                  <a:srgbClr val="FFFFFF">
                    <a:alpha val="50000"/>
                  </a:srgbClr>
                </a:solidFill>
                <a:round/>
              </a:ln>
              <a:effectLst>
                <a:outerShdw blurRad="63500" dist="889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solidFill>
                    <a:schemeClr val="accent1">
                      <a:alpha val="30000"/>
                    </a:schemeClr>
                  </a:solidFill>
                  <a:ln>
                    <a:solidFill>
                      <a:schemeClr val="lt1">
                        <a:alpha val="50000"/>
                      </a:schemeClr>
                    </a:solidFill>
                    <a:round/>
                  </a:ln>
                </c15:spPr>
                <c15:showLeaderLines val="0"/>
              </c:ext>
            </c:extLst>
          </c:dLbls>
          <c:cat>
            <c:strRef>
              <c:f>'Unit Sold BY Products'!$A$4:$A$7</c:f>
              <c:strCache>
                <c:ptCount val="3"/>
                <c:pt idx="0">
                  <c:v>iPad</c:v>
                </c:pt>
                <c:pt idx="1">
                  <c:v>iPhone</c:v>
                </c:pt>
                <c:pt idx="2">
                  <c:v>MacBook</c:v>
                </c:pt>
              </c:strCache>
            </c:strRef>
          </c:cat>
          <c:val>
            <c:numRef>
              <c:f>'Unit Sold BY Products'!$B$4:$B$7</c:f>
              <c:numCache>
                <c:formatCode>General</c:formatCode>
                <c:ptCount val="3"/>
                <c:pt idx="0">
                  <c:v>1669</c:v>
                </c:pt>
                <c:pt idx="1">
                  <c:v>1630</c:v>
                </c:pt>
                <c:pt idx="2">
                  <c:v>1589</c:v>
                </c:pt>
              </c:numCache>
            </c:numRef>
          </c:val>
          <c:extLst>
            <c:ext xmlns:c16="http://schemas.microsoft.com/office/drawing/2014/chart" uri="{C3380CC4-5D6E-409C-BE32-E72D297353CC}">
              <c16:uniqueId val="{00000000-7FA7-4781-A2F4-BC2A9696C61F}"/>
            </c:ext>
          </c:extLst>
        </c:ser>
        <c:dLbls>
          <c:showLegendKey val="0"/>
          <c:showVal val="0"/>
          <c:showCatName val="0"/>
          <c:showSerName val="0"/>
          <c:showPercent val="0"/>
          <c:showBubbleSize val="0"/>
        </c:dLbls>
        <c:gapWidth val="84"/>
        <c:gapDepth val="53"/>
        <c:shape val="box"/>
        <c:axId val="1611372927"/>
        <c:axId val="1611373887"/>
        <c:axId val="0"/>
      </c:bar3DChart>
      <c:catAx>
        <c:axId val="1611372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373887"/>
        <c:crosses val="autoZero"/>
        <c:auto val="1"/>
        <c:lblAlgn val="ctr"/>
        <c:lblOffset val="100"/>
        <c:noMultiLvlLbl val="0"/>
      </c:catAx>
      <c:valAx>
        <c:axId val="1611373887"/>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61137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[Man_ExcelDashboard.xlsx]P_Model &amp; Revenue!P_Model &amp; revenuw</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'P_Model &amp; Revenue'!$B$3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'P_Model &amp; Revenue'!$A$4:$A$13</c:f>
              <c:strCache>
                <c:ptCount val="9"/>
                <c:pt idx="0">
                  <c:v>iPad Air</c:v>
                </c:pt>
                <c:pt idx="1">
                  <c:v>iPad Mini</c:v>
                </c:pt>
                <c:pt idx="2">
                  <c:v>iPad Pro</c:v>
                </c:pt>
                <c:pt idx="3">
                  <c:v>iPhone 13</c:v>
                </c:pt>
                <c:pt idx="4">
                  <c:v>iPhone 14</c:v>
                </c:pt>
                <c:pt idx="5">
                  <c:v>iPhone 15</c:v>
                </c:pt>
                <c:pt idx="6">
                  <c:v>MacBook Air</c:v>
                </c:pt>
                <c:pt idx="7">
                  <c:v>MacBook Pro 14</c:v>
                </c:pt>
                <c:pt idx="8">
                  <c:v>MacBook Pro 16</c:v>
                </c:pt>
              </c:strCache>
            </c:strRef>
          </c:cat>
          <c:val>
            <c:numRef>
              <c:f>'P_Model &amp; Revenue'!$B$4:$B$13</c:f>
              <c:numCache>
                <c:formatCode>"₹"\ #,##0.00</c:formatCode>
                <c:ptCount val="9"/>
                <c:pt idx="0">
                  <c:v>38934670</c:v>
                </c:pt>
                <c:pt idx="1">
                  <c:v>38852929</c:v>
                </c:pt>
                <c:pt idx="2">
                  <c:v>34217089</c:v>
                </c:pt>
                <c:pt idx="3">
                  <c:v>55473929</c:v>
                </c:pt>
                <c:pt idx="4">
                  <c:v>50368439</c:v>
                </c:pt>
                <c:pt idx="5">
                  <c:v>36146840</c:v>
                </c:pt>
                <c:pt idx="6">
                  <c:v>92566387</c:v>
                </c:pt>
                <c:pt idx="7">
                  <c:v>92109069</c:v>
                </c:pt>
                <c:pt idx="8">
                  <c:v>92586456</c:v>
                </c:pt>
              </c:numCache>
            </c:numRef>
          </c:val>
          <c:smooth val="0"/>
          <c:extLst>
            <c:ext xmlns:c16="http://schemas.microsoft.com/office/drawing/2014/chart" uri="{C3380CC4-5D6E-409C-BE32-E72D297353CC}">
              <c16:uniqueId val="{00000000-09F8-4C0E-9456-785C37BF3E98}"/>
            </c:ext>
          </c:extLst>
        </c:ser>
        <c:dLbls>
          <c:showLegendKey val="0"/>
          <c:showVal val="0"/>
          <c:showCatName val="0"/>
          <c:showSerName val="0"/>
          <c:showPercent val="0"/>
          <c:showBubbleSize val="0"/>
        </c:dLbls>
        <c:marker val="1"/>
        <c:smooth val="0"/>
        <c:axId val="1611468927"/>
        <c:axId val="1611470367"/>
      </c:lineChart>
      <c:catAx>
        <c:axId val="16114689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470367"/>
        <c:crosses val="autoZero"/>
        <c:auto val="1"/>
        <c:lblAlgn val="ctr"/>
        <c:lblOffset val="100"/>
        <c:noMultiLvlLbl val="0"/>
      </c:catAx>
      <c:valAx>
        <c:axId val="16114703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11468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[Man_ExcelDashboard.xlsx]Region Wise Top Products!Region Wise Top Producys</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0369A3"/>
              </a:solidFill>
              <a:round/>
            </a:ln>
            <a:effectLst>
              <a:outerShdw blurRad="50800" dist="38100" dir="2700000" algn="tl" rotWithShape="0">
                <a:srgbClr val="0369A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
        <c:marker>
          <c:symbol val="none"/>
        </c:marke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C9211E"/>
              </a:solidFill>
              <a:round/>
            </a:ln>
            <a:effectLst>
              <a:outerShdw blurRad="50800" dist="38100" dir="2700000" algn="tl" rotWithShape="0">
                <a:srgbClr val="C9211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18A303">
                  <a:lumMod val="60000"/>
                </a:srgbClr>
              </a:solidFill>
              <a:round/>
            </a:ln>
            <a:effectLst>
              <a:outerShdw blurRad="50800" dist="38100" dir="2700000" algn="tl" rotWithShape="0">
                <a:srgbClr val="18A3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0369A3">
                  <a:lumMod val="60000"/>
                </a:srgbClr>
              </a:solidFill>
              <a:round/>
            </a:ln>
            <a:effectLst>
              <a:outerShdw blurRad="50800" dist="38100" dir="2700000" algn="tl" rotWithShape="0">
                <a:srgbClr val="0369A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rgbClr val="FFFFFF">
                <a:alpha val="90000"/>
              </a:srgbClr>
            </a:solidFill>
            <a:ln w="12700" cap="flat" cmpd="sng" algn="ctr">
              <a:solidFill>
                <a:srgbClr val="A33E03">
                  <a:lumMod val="60000"/>
                </a:srgbClr>
              </a:solidFill>
              <a:round/>
            </a:ln>
            <a:effectLst>
              <a:outerShdw blurRad="50800" dist="38100" dir="2700000" algn="tl" rotWithShape="0">
                <a:srgbClr val="A33E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delete val="1"/>
          <c:extLst>
            <c:ext xmlns:c15="http://schemas.microsoft.com/office/drawing/2012/chart" uri="{CE6537A1-D6FC-4f65-9D91-7224C49458BB}"/>
          </c:extLst>
        </c:dLbl>
      </c:pivotFmt>
      <c:pivotFmt>
        <c:idx val="15"/>
      </c:pivotFmt>
      <c:pivotFmt>
        <c:idx val="1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1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1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1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20"/>
      </c:pivotFmt>
      <c:pivotFmt>
        <c:idx val="2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2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2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2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25"/>
      </c:pivotFmt>
      <c:pivotFmt>
        <c:idx val="2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2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2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2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3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3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3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3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35"/>
      </c:pivotFmt>
      <c:pivotFmt>
        <c:idx val="3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3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3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4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6"/>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7"/>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8"/>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0"/>
      </c:pivotFmt>
      <c:pivotFmt>
        <c:idx val="51"/>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52"/>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53"/>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54"/>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 Wise Top Products'!$B$3:$B$4</c:f>
              <c:strCache>
                <c:ptCount val="1"/>
                <c:pt idx="0">
                  <c:v>iPad Air</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0A-A40C-4142-A7A3-638ADC753A8A}"/>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B-A40C-4142-A7A3-638ADC753A8A}"/>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C-A40C-4142-A7A3-638ADC753A8A}"/>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D-A40C-4142-A7A3-638ADC753A8A}"/>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E-A40C-4142-A7A3-638ADC753A8A}"/>
              </c:ext>
            </c:extLst>
          </c:dPt>
          <c:dLbls>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Products'!$B$5:$B$10</c:f>
              <c:numCache>
                <c:formatCode>General</c:formatCode>
                <c:ptCount val="5"/>
                <c:pt idx="0">
                  <c:v>165</c:v>
                </c:pt>
                <c:pt idx="1">
                  <c:v>150</c:v>
                </c:pt>
                <c:pt idx="2">
                  <c:v>40</c:v>
                </c:pt>
                <c:pt idx="3">
                  <c:v>127</c:v>
                </c:pt>
                <c:pt idx="4">
                  <c:v>87</c:v>
                </c:pt>
              </c:numCache>
            </c:numRef>
          </c:val>
          <c:extLst>
            <c:ext xmlns:c16="http://schemas.microsoft.com/office/drawing/2014/chart" uri="{C3380CC4-5D6E-409C-BE32-E72D297353CC}">
              <c16:uniqueId val="{00000000-A40C-4142-A7A3-638ADC753A8A}"/>
            </c:ext>
          </c:extLst>
        </c:ser>
        <c:ser>
          <c:idx val="1"/>
          <c:order val="1"/>
          <c:tx>
            <c:strRef>
              <c:f>'Region Wise Top Products'!$C$3:$C$4</c:f>
              <c:strCache>
                <c:ptCount val="1"/>
                <c:pt idx="0">
                  <c:v>iPad Mini</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A-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C-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E-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0-FE3C-4D41-8E3E-2754A9FA1C3D}"/>
              </c:ext>
            </c:extLst>
          </c:dPt>
          <c:dLbls>
            <c:spPr>
              <a:solidFill>
                <a:srgbClr val="FFFFFF">
                  <a:alpha val="90000"/>
                </a:srgbClr>
              </a:solidFill>
              <a:ln w="12700" cap="flat" cmpd="sng" algn="ctr">
                <a:solidFill>
                  <a:srgbClr val="0369A3"/>
                </a:solidFill>
                <a:round/>
              </a:ln>
              <a:effectLst>
                <a:outerShdw blurRad="50800" dist="38100" dir="2700000" algn="tl" rotWithShape="0">
                  <a:srgbClr val="0369A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Products'!$C$5:$C$10</c:f>
              <c:numCache>
                <c:formatCode>General</c:formatCode>
                <c:ptCount val="5"/>
                <c:pt idx="0">
                  <c:v>97</c:v>
                </c:pt>
                <c:pt idx="1">
                  <c:v>121</c:v>
                </c:pt>
                <c:pt idx="2">
                  <c:v>110</c:v>
                </c:pt>
                <c:pt idx="3">
                  <c:v>125</c:v>
                </c:pt>
                <c:pt idx="4">
                  <c:v>123</c:v>
                </c:pt>
              </c:numCache>
            </c:numRef>
          </c:val>
          <c:extLst>
            <c:ext xmlns:c16="http://schemas.microsoft.com/office/drawing/2014/chart" uri="{C3380CC4-5D6E-409C-BE32-E72D297353CC}">
              <c16:uniqueId val="{0000004E-811F-4556-881D-16746CB35417}"/>
            </c:ext>
          </c:extLst>
        </c:ser>
        <c:ser>
          <c:idx val="2"/>
          <c:order val="2"/>
          <c:tx>
            <c:strRef>
              <c:f>'Region Wise Top Products'!$D$3:$D$4</c:f>
              <c:strCache>
                <c:ptCount val="1"/>
                <c:pt idx="0">
                  <c:v>iPad Pro</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s>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'Region Wise Top Products'!$A$5:$A$10</c:f>
              <c:strCache>
                <c:ptCount val="5"/>
                <c:pt idx="0">
                  <c:v>Australia</c:v>
                </c:pt>
                <c:pt idx="1">
                  <c:v>Canada</c:v>
                </c:pt>
                <c:pt idx="2">
                  <c:v>India</c:v>
                </c:pt>
                <c:pt idx="3">
                  <c:v>UK</c:v>
                </c:pt>
                <c:pt idx="4">
                  <c:v>USA</c:v>
                </c:pt>
              </c:strCache>
            </c:strRef>
          </c:cat>
          <c:val>
            <c:numRef>
              <c:f>'Region Wise Top Products'!$D$5:$D$10</c:f>
              <c:numCache>
                <c:formatCode>General</c:formatCode>
                <c:ptCount val="5"/>
                <c:pt idx="0">
                  <c:v>96</c:v>
                </c:pt>
                <c:pt idx="1">
                  <c:v>132</c:v>
                </c:pt>
                <c:pt idx="2">
                  <c:v>114</c:v>
                </c:pt>
                <c:pt idx="3">
                  <c:v>126</c:v>
                </c:pt>
                <c:pt idx="4">
                  <c:v>56</c:v>
                </c:pt>
              </c:numCache>
            </c:numRef>
          </c:val>
          <c:extLst>
            <c:ext xmlns:c16="http://schemas.microsoft.com/office/drawing/2014/chart" uri="{C3380CC4-5D6E-409C-BE32-E72D297353CC}">
              <c16:uniqueId val="{0000004F-811F-4556-881D-16746CB35417}"/>
            </c:ext>
          </c:extLst>
        </c:ser>
        <c:ser>
          <c:idx val="3"/>
          <c:order val="3"/>
          <c:tx>
            <c:strRef>
              <c:f>'Region Wise Top Products'!$E$3:$E$4</c:f>
              <c:strCache>
                <c:ptCount val="1"/>
                <c:pt idx="0">
                  <c:v>iPhone 13</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12-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14-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16-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18-FE3C-4D41-8E3E-2754A9FA1C3D}"/>
              </c:ext>
            </c:extLst>
          </c:dPt>
          <c:dLbls>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Products'!$E$5:$E$10</c:f>
              <c:numCache>
                <c:formatCode>General</c:formatCode>
                <c:ptCount val="5"/>
                <c:pt idx="0">
                  <c:v>134</c:v>
                </c:pt>
                <c:pt idx="1">
                  <c:v>134</c:v>
                </c:pt>
                <c:pt idx="2">
                  <c:v>110</c:v>
                </c:pt>
                <c:pt idx="3">
                  <c:v>121</c:v>
                </c:pt>
                <c:pt idx="4">
                  <c:v>138</c:v>
                </c:pt>
              </c:numCache>
            </c:numRef>
          </c:val>
          <c:extLst>
            <c:ext xmlns:c16="http://schemas.microsoft.com/office/drawing/2014/chart" uri="{C3380CC4-5D6E-409C-BE32-E72D297353CC}">
              <c16:uniqueId val="{00000050-811F-4556-881D-16746CB35417}"/>
            </c:ext>
          </c:extLst>
        </c:ser>
        <c:ser>
          <c:idx val="4"/>
          <c:order val="4"/>
          <c:tx>
            <c:strRef>
              <c:f>'Region Wise Top Products'!$F$3:$F$4</c:f>
              <c:strCache>
                <c:ptCount val="1"/>
                <c:pt idx="0">
                  <c:v>iPhone 14</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1A-FE3C-4D41-8E3E-2754A9FA1C3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1C-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1E-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20-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22-FE3C-4D41-8E3E-2754A9FA1C3D}"/>
              </c:ext>
            </c:extLst>
          </c:dPt>
          <c:dLbls>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Products'!$F$5:$F$10</c:f>
              <c:numCache>
                <c:formatCode>General</c:formatCode>
                <c:ptCount val="5"/>
                <c:pt idx="0">
                  <c:v>103</c:v>
                </c:pt>
                <c:pt idx="1">
                  <c:v>89</c:v>
                </c:pt>
                <c:pt idx="2">
                  <c:v>143</c:v>
                </c:pt>
                <c:pt idx="3">
                  <c:v>117</c:v>
                </c:pt>
                <c:pt idx="4">
                  <c:v>118</c:v>
                </c:pt>
              </c:numCache>
            </c:numRef>
          </c:val>
          <c:extLst>
            <c:ext xmlns:c16="http://schemas.microsoft.com/office/drawing/2014/chart" uri="{C3380CC4-5D6E-409C-BE32-E72D297353CC}">
              <c16:uniqueId val="{00000051-811F-4556-881D-16746CB35417}"/>
            </c:ext>
          </c:extLst>
        </c:ser>
        <c:ser>
          <c:idx val="5"/>
          <c:order val="5"/>
          <c:tx>
            <c:strRef>
              <c:f>'Region Wise Top Products'!$G$3:$G$4</c:f>
              <c:strCache>
                <c:ptCount val="1"/>
                <c:pt idx="0">
                  <c:v>iPhone 15</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24-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26-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28-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2A-FE3C-4D41-8E3E-2754A9FA1C3D}"/>
              </c:ext>
            </c:extLst>
          </c:dPt>
          <c:dLbls>
            <c:spPr>
              <a:solidFill>
                <a:srgbClr val="FFFFFF">
                  <a:alpha val="90000"/>
                </a:srgbClr>
              </a:solidFill>
              <a:ln w="12700" cap="flat" cmpd="sng" algn="ctr">
                <a:solidFill>
                  <a:srgbClr val="C9211E"/>
                </a:solidFill>
                <a:round/>
              </a:ln>
              <a:effectLst>
                <a:outerShdw blurRad="50800" dist="38100" dir="2700000" algn="tl" rotWithShape="0">
                  <a:srgbClr val="C9211E">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Products'!$G$5:$G$10</c:f>
              <c:numCache>
                <c:formatCode>General</c:formatCode>
                <c:ptCount val="5"/>
                <c:pt idx="0">
                  <c:v>132</c:v>
                </c:pt>
                <c:pt idx="1">
                  <c:v>85</c:v>
                </c:pt>
                <c:pt idx="2">
                  <c:v>69</c:v>
                </c:pt>
                <c:pt idx="3">
                  <c:v>52</c:v>
                </c:pt>
                <c:pt idx="4">
                  <c:v>85</c:v>
                </c:pt>
              </c:numCache>
            </c:numRef>
          </c:val>
          <c:extLst>
            <c:ext xmlns:c16="http://schemas.microsoft.com/office/drawing/2014/chart" uri="{C3380CC4-5D6E-409C-BE32-E72D297353CC}">
              <c16:uniqueId val="{00000052-811F-4556-881D-16746CB35417}"/>
            </c:ext>
          </c:extLst>
        </c:ser>
        <c:ser>
          <c:idx val="6"/>
          <c:order val="6"/>
          <c:tx>
            <c:strRef>
              <c:f>'Region Wise Top Products'!$H$3:$H$4</c:f>
              <c:strCache>
                <c:ptCount val="1"/>
                <c:pt idx="0">
                  <c:v>MacBook Air</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2B-FE3C-4D41-8E3E-2754A9FA1C3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2D-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2F-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31-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33-FE3C-4D41-8E3E-2754A9FA1C3D}"/>
              </c:ext>
            </c:extLst>
          </c:dPt>
          <c:dLbls>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B-FE3C-4D41-8E3E-2754A9FA1C3D}"/>
                </c:ext>
              </c:extLst>
            </c:dLbl>
            <c:dLbl>
              <c:idx val="1"/>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D-FE3C-4D41-8E3E-2754A9FA1C3D}"/>
                </c:ext>
              </c:extLst>
            </c:dLbl>
            <c:dLbl>
              <c:idx val="2"/>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2F-FE3C-4D41-8E3E-2754A9FA1C3D}"/>
                </c:ext>
              </c:extLst>
            </c:dLbl>
            <c:dLbl>
              <c:idx val="3"/>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1-FE3C-4D41-8E3E-2754A9FA1C3D}"/>
                </c:ext>
              </c:extLst>
            </c:dLbl>
            <c:dLbl>
              <c:idx val="4"/>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3-FE3C-4D41-8E3E-2754A9FA1C3D}"/>
                </c:ext>
              </c:extLst>
            </c:dLbl>
            <c:spPr>
              <a:solidFill>
                <a:srgbClr val="FFFFFF">
                  <a:alpha val="90000"/>
                </a:srgbClr>
              </a:solidFill>
              <a:ln w="12700" cap="flat" cmpd="sng" algn="ctr">
                <a:solidFill>
                  <a:srgbClr val="18A303">
                    <a:lumMod val="60000"/>
                  </a:srgbClr>
                </a:solidFill>
                <a:round/>
              </a:ln>
              <a:effectLst>
                <a:outerShdw blurRad="50800" dist="38100" dir="2700000" algn="tl" rotWithShape="0">
                  <a:srgbClr val="18A3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Products'!$H$5:$H$10</c:f>
              <c:numCache>
                <c:formatCode>General</c:formatCode>
                <c:ptCount val="5"/>
                <c:pt idx="0">
                  <c:v>138</c:v>
                </c:pt>
                <c:pt idx="1">
                  <c:v>121</c:v>
                </c:pt>
                <c:pt idx="2">
                  <c:v>53</c:v>
                </c:pt>
                <c:pt idx="3">
                  <c:v>124</c:v>
                </c:pt>
                <c:pt idx="4">
                  <c:v>104</c:v>
                </c:pt>
              </c:numCache>
            </c:numRef>
          </c:val>
          <c:extLst>
            <c:ext xmlns:c16="http://schemas.microsoft.com/office/drawing/2014/chart" uri="{C3380CC4-5D6E-409C-BE32-E72D297353CC}">
              <c16:uniqueId val="{00000053-811F-4556-881D-16746CB35417}"/>
            </c:ext>
          </c:extLst>
        </c:ser>
        <c:ser>
          <c:idx val="7"/>
          <c:order val="7"/>
          <c:tx>
            <c:strRef>
              <c:f>'Region Wise Top Products'!$I$3:$I$4</c:f>
              <c:strCache>
                <c:ptCount val="1"/>
                <c:pt idx="0">
                  <c:v>MacBook Pro 14</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0"/>
            <c:bubble3D val="0"/>
            <c:extLst>
              <c:ext xmlns:c16="http://schemas.microsoft.com/office/drawing/2014/chart" uri="{C3380CC4-5D6E-409C-BE32-E72D297353CC}">
                <c16:uniqueId val="{00000034-FE3C-4D41-8E3E-2754A9FA1C3D}"/>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36-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38-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3A-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3C-FE3C-4D41-8E3E-2754A9FA1C3D}"/>
              </c:ext>
            </c:extLst>
          </c:dPt>
          <c:dLbls>
            <c:dLbl>
              <c:idx val="0"/>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4-FE3C-4D41-8E3E-2754A9FA1C3D}"/>
                </c:ext>
              </c:extLst>
            </c:dLbl>
            <c:dLbl>
              <c:idx val="1"/>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6-FE3C-4D41-8E3E-2754A9FA1C3D}"/>
                </c:ext>
              </c:extLst>
            </c:dLbl>
            <c:dLbl>
              <c:idx val="2"/>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8-FE3C-4D41-8E3E-2754A9FA1C3D}"/>
                </c:ext>
              </c:extLst>
            </c:dLbl>
            <c:dLbl>
              <c:idx val="3"/>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A-FE3C-4D41-8E3E-2754A9FA1C3D}"/>
                </c:ext>
              </c:extLst>
            </c:dLbl>
            <c:dLbl>
              <c:idx val="4"/>
              <c:spPr>
                <a:solidFill>
                  <a:srgbClr val="FFFFFF">
                    <a:alpha val="90000"/>
                  </a:srgbClr>
                </a:solidFill>
                <a:ln w="12700" cap="flat" cmpd="sng" algn="ctr">
                  <a:solidFill>
                    <a:srgbClr val="18A303"/>
                  </a:solidFill>
                  <a:round/>
                </a:ln>
                <a:effectLst>
                  <a:outerShdw blurRad="50800" dist="38100" dir="2700000" algn="tl" rotWithShape="0">
                    <a:srgbClr val="18A303">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3C-FE3C-4D41-8E3E-2754A9FA1C3D}"/>
                </c:ext>
              </c:extLst>
            </c:dLbl>
            <c:spPr>
              <a:solidFill>
                <a:srgbClr val="FFFFFF">
                  <a:alpha val="90000"/>
                </a:srgbClr>
              </a:solidFill>
              <a:ln w="12700" cap="flat" cmpd="sng" algn="ctr">
                <a:solidFill>
                  <a:srgbClr val="0369A3">
                    <a:lumMod val="60000"/>
                  </a:srgbClr>
                </a:solidFill>
                <a:round/>
              </a:ln>
              <a:effectLst>
                <a:outerShdw blurRad="50800" dist="38100" dir="2700000" algn="tl" rotWithShape="0">
                  <a:srgbClr val="0369A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Products'!$I$5:$I$10</c:f>
              <c:numCache>
                <c:formatCode>General</c:formatCode>
                <c:ptCount val="5"/>
                <c:pt idx="0">
                  <c:v>167</c:v>
                </c:pt>
                <c:pt idx="1">
                  <c:v>127</c:v>
                </c:pt>
                <c:pt idx="2">
                  <c:v>93</c:v>
                </c:pt>
                <c:pt idx="3">
                  <c:v>89</c:v>
                </c:pt>
                <c:pt idx="4">
                  <c:v>79</c:v>
                </c:pt>
              </c:numCache>
            </c:numRef>
          </c:val>
          <c:extLst>
            <c:ext xmlns:c16="http://schemas.microsoft.com/office/drawing/2014/chart" uri="{C3380CC4-5D6E-409C-BE32-E72D297353CC}">
              <c16:uniqueId val="{00000054-811F-4556-881D-16746CB35417}"/>
            </c:ext>
          </c:extLst>
        </c:ser>
        <c:ser>
          <c:idx val="8"/>
          <c:order val="8"/>
          <c:tx>
            <c:strRef>
              <c:f>'Region Wise Top Products'!$J$3:$J$4</c:f>
              <c:strCache>
                <c:ptCount val="1"/>
                <c:pt idx="0">
                  <c:v>MacBook Pro 16</c:v>
                </c:pt>
              </c:strCache>
            </c:strRef>
          </c:tx>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3E-FE3C-4D41-8E3E-2754A9FA1C3D}"/>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40-FE3C-4D41-8E3E-2754A9FA1C3D}"/>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42-FE3C-4D41-8E3E-2754A9FA1C3D}"/>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44-FE3C-4D41-8E3E-2754A9FA1C3D}"/>
              </c:ext>
            </c:extLst>
          </c:dPt>
          <c:dLbls>
            <c:spPr>
              <a:solidFill>
                <a:srgbClr val="FFFFFF">
                  <a:alpha val="90000"/>
                </a:srgbClr>
              </a:solidFill>
              <a:ln w="12700" cap="flat" cmpd="sng" algn="ctr">
                <a:solidFill>
                  <a:srgbClr val="A33E03">
                    <a:lumMod val="60000"/>
                  </a:srgbClr>
                </a:solidFill>
                <a:round/>
              </a:ln>
              <a:effectLst>
                <a:outerShdw blurRad="50800" dist="38100" dir="2700000" algn="tl" rotWithShape="0">
                  <a:srgbClr val="A33E03">
                    <a:lumMod val="60000"/>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'Region Wise Top Products'!$A$5:$A$10</c:f>
              <c:strCache>
                <c:ptCount val="5"/>
                <c:pt idx="0">
                  <c:v>Australia</c:v>
                </c:pt>
                <c:pt idx="1">
                  <c:v>Canada</c:v>
                </c:pt>
                <c:pt idx="2">
                  <c:v>India</c:v>
                </c:pt>
                <c:pt idx="3">
                  <c:v>UK</c:v>
                </c:pt>
                <c:pt idx="4">
                  <c:v>USA</c:v>
                </c:pt>
              </c:strCache>
            </c:strRef>
          </c:cat>
          <c:val>
            <c:numRef>
              <c:f>'Region Wise Top Products'!$J$5:$J$10</c:f>
              <c:numCache>
                <c:formatCode>General</c:formatCode>
                <c:ptCount val="5"/>
                <c:pt idx="0">
                  <c:v>53</c:v>
                </c:pt>
                <c:pt idx="1">
                  <c:v>102</c:v>
                </c:pt>
                <c:pt idx="2">
                  <c:v>165</c:v>
                </c:pt>
                <c:pt idx="3">
                  <c:v>149</c:v>
                </c:pt>
                <c:pt idx="4">
                  <c:v>25</c:v>
                </c:pt>
              </c:numCache>
            </c:numRef>
          </c:val>
          <c:extLst>
            <c:ext xmlns:c16="http://schemas.microsoft.com/office/drawing/2014/chart" uri="{C3380CC4-5D6E-409C-BE32-E72D297353CC}">
              <c16:uniqueId val="{00000055-811F-4556-881D-16746CB35417}"/>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iagrams/colors1.xml><?xml version="1.0" encoding="utf-8"?>
<dgm:colorsDef xmlns:dgm="http://schemas.openxmlformats.org/drawingml/2006/diagram" xmlns:a="http://schemas.openxmlformats.org/drawingml/2006/main" uniqueId="urn:microsoft.com/office/officeart/2005/8/colors/accent0_3">
  <dgm:title val=""/>
  <dgm:desc val=""/>
  <dgm:catLst>
    <dgm:cat type="mainScheme" pri="10300"/>
  </dgm:catLst>
  <dgm:styleLbl name="node0">
    <dgm:fillClrLst meth="repeat">
      <a:schemeClr val="dk2"/>
    </dgm:fillClrLst>
    <dgm:linClrLst meth="repeat">
      <a:schemeClr val="lt2"/>
    </dgm:linClrLst>
    <dgm:effectClrLst/>
    <dgm:txLinClrLst/>
    <dgm:txFillClrLst/>
    <dgm:txEffectClrLst/>
  </dgm:styleLbl>
  <dgm:styleLbl name="alignNode1">
    <dgm:fillClrLst meth="repeat">
      <a:schemeClr val="dk2"/>
    </dgm:fillClrLst>
    <dgm:linClrLst meth="repeat">
      <a:schemeClr val="dk2"/>
    </dgm:linClrLst>
    <dgm:effectClrLst/>
    <dgm:txLinClrLst/>
    <dgm:txFillClrLst/>
    <dgm:txEffectClrLst/>
  </dgm:styleLbl>
  <dgm:styleLbl name="node1">
    <dgm:fillClrLst meth="repeat">
      <a:schemeClr val="dk2"/>
    </dgm:fillClrLst>
    <dgm:linClrLst meth="repeat">
      <a:schemeClr val="lt2"/>
    </dgm:linClrLst>
    <dgm:effectClrLst/>
    <dgm:txLinClrLst/>
    <dgm:txFillClrLst/>
    <dgm:txEffectClrLst/>
  </dgm:styleLbl>
  <dgm:styleLbl name="lnNode1">
    <dgm:fillClrLst meth="repeat">
      <a:schemeClr val="dk2"/>
    </dgm:fillClrLst>
    <dgm:linClrLst meth="repeat">
      <a:schemeClr val="lt2"/>
    </dgm:linClrLst>
    <dgm:effectClrLst/>
    <dgm:txLinClrLst/>
    <dgm:txFillClrLst/>
    <dgm:txEffectClrLst/>
  </dgm:styleLbl>
  <dgm:styleLbl name="vennNode1">
    <dgm:fillClrLst meth="repeat">
      <a:schemeClr val="dk2">
        <a:alpha val="50000"/>
      </a:schemeClr>
    </dgm:fillClrLst>
    <dgm:linClrLst meth="repeat">
      <a:schemeClr val="lt2"/>
    </dgm:linClrLst>
    <dgm:effectClrLst/>
    <dgm:txLinClrLst/>
    <dgm:txFillClrLst/>
    <dgm:txEffectClrLst/>
  </dgm:styleLbl>
  <dgm:styleLbl name="node2">
    <dgm:fillClrLst meth="repeat">
      <a:schemeClr val="dk2"/>
    </dgm:fillClrLst>
    <dgm:linClrLst meth="repeat">
      <a:schemeClr val="lt2"/>
    </dgm:linClrLst>
    <dgm:effectClrLst/>
    <dgm:txLinClrLst/>
    <dgm:txFillClrLst/>
    <dgm:txEffectClrLst/>
  </dgm:styleLbl>
  <dgm:styleLbl name="node3">
    <dgm:fillClrLst meth="repeat">
      <a:schemeClr val="dk2"/>
    </dgm:fillClrLst>
    <dgm:linClrLst meth="repeat">
      <a:schemeClr val="lt2"/>
    </dgm:linClrLst>
    <dgm:effectClrLst/>
    <dgm:txLinClrLst/>
    <dgm:txFillClrLst/>
    <dgm:txEffectClrLst/>
  </dgm:styleLbl>
  <dgm:styleLbl name="node4">
    <dgm:fillClrLst meth="repeat">
      <a:schemeClr val="dk2"/>
    </dgm:fillClrLst>
    <dgm:linClrLst meth="repeat">
      <a:schemeClr val="lt2"/>
    </dgm:linClrLst>
    <dgm:effectClrLst/>
    <dgm:txLinClrLst/>
    <dgm:txFillClrLst/>
    <dgm:txEffectClrLst/>
  </dgm:styleLbl>
  <dgm:styleLbl name="fgImgPlace1">
    <dgm:fillClrLst meth="repeat">
      <a:schemeClr val="dk2">
        <a:tint val="50000"/>
      </a:schemeClr>
    </dgm:fillClrLst>
    <dgm:linClrLst meth="repeat">
      <a:schemeClr val="lt2"/>
    </dgm:linClrLst>
    <dgm:effectClrLst/>
    <dgm:txLinClrLst/>
    <dgm:txFillClrLst meth="repeat">
      <a:schemeClr val="lt2"/>
    </dgm:txFillClrLst>
    <dgm:txEffectClrLst/>
  </dgm:styleLbl>
  <dgm:styleLbl name="align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bgImgPlace1">
    <dgm:fillClrLst meth="repeat">
      <a:schemeClr val="dk2">
        <a:tint val="50000"/>
      </a:schemeClr>
    </dgm:fillClrLst>
    <dgm:linClrLst meth="repeat">
      <a:schemeClr val="dk2">
        <a:shade val="80000"/>
      </a:schemeClr>
    </dgm:linClrLst>
    <dgm:effectClrLst/>
    <dgm:txLinClrLst/>
    <dgm:txFillClrLst meth="repeat">
      <a:schemeClr val="lt2"/>
    </dgm:txFillClrLst>
    <dgm:txEffectClrLst/>
  </dgm:styleLbl>
  <dgm:styleLbl name="sibTrans2D1">
    <dgm:fillClrLst meth="repeat">
      <a:schemeClr val="dk2">
        <a:tint val="60000"/>
      </a:schemeClr>
    </dgm:fillClrLst>
    <dgm:linClrLst meth="repeat">
      <a:schemeClr val="dk2">
        <a:tint val="60000"/>
      </a:schemeClr>
    </dgm:linClrLst>
    <dgm:effectClrLst/>
    <dgm:txLinClrLst/>
    <dgm:txFillClrLst/>
    <dgm:txEffectClrLst/>
  </dgm:styleLbl>
  <dgm:styleLbl name="fgSibTrans2D1">
    <dgm:fillClrLst meth="repeat">
      <a:schemeClr val="dk2">
        <a:tint val="60000"/>
      </a:schemeClr>
    </dgm:fillClrLst>
    <dgm:linClrLst meth="repeat">
      <a:schemeClr val="dk2">
        <a:tint val="60000"/>
      </a:schemeClr>
    </dgm:linClrLst>
    <dgm:effectClrLst/>
    <dgm:txLinClrLst/>
    <dgm:txFillClrLst/>
    <dgm:txEffectClrLst/>
  </dgm:styleLbl>
  <dgm:styleLbl name="bgSibTrans2D1">
    <dgm:fillClrLst meth="repeat">
      <a:schemeClr val="dk2">
        <a:tint val="60000"/>
      </a:schemeClr>
    </dgm:fillClrLst>
    <dgm:linClrLst meth="repeat">
      <a:schemeClr val="dk2">
        <a:tint val="60000"/>
      </a:schemeClr>
    </dgm:linClrLst>
    <dgm:effectClrLst/>
    <dgm:txLinClrLst/>
    <dgm:txFillClrLst/>
    <dgm:txEffectClrLst/>
  </dgm:styleLbl>
  <dgm:styleLbl name="sibTrans1D1">
    <dgm:fillClrLst meth="repeat">
      <a:schemeClr val="dk2"/>
    </dgm:fillClrLst>
    <dgm:linClrLst meth="repeat">
      <a:schemeClr val="dk2"/>
    </dgm:linClrLst>
    <dgm:effectClrLst/>
    <dgm:txLinClrLst/>
    <dgm:txFillClrLst meth="repeat">
      <a:schemeClr val="lt2"/>
    </dgm:txFillClrLst>
    <dgm:txEffectClrLst/>
  </dgm:styleLbl>
  <dgm:styleLbl name="callout">
    <dgm:fillClrLst meth="repeat">
      <a:schemeClr val="dk2"/>
    </dgm:fillClrLst>
    <dgm:linClrLst meth="repeat">
      <a:schemeClr val="dk2">
        <a:tint val="50000"/>
      </a:schemeClr>
    </dgm:linClrLst>
    <dgm:effectClrLst/>
    <dgm:txLinClrLst/>
    <dgm:txFillClrLst meth="repeat">
      <a:schemeClr val="lt2"/>
    </dgm:txFillClrLst>
    <dgm:txEffectClrLst/>
  </dgm:styleLbl>
  <dgm:styleLbl name="asst0">
    <dgm:fillClrLst meth="repeat">
      <a:schemeClr val="dk2"/>
    </dgm:fillClrLst>
    <dgm:linClrLst meth="repeat">
      <a:schemeClr val="lt2"/>
    </dgm:linClrLst>
    <dgm:effectClrLst/>
    <dgm:txLinClrLst/>
    <dgm:txFillClrLst/>
    <dgm:txEffectClrLst/>
  </dgm:styleLbl>
  <dgm:styleLbl name="asst1">
    <dgm:fillClrLst meth="repeat">
      <a:schemeClr val="dk2"/>
    </dgm:fillClrLst>
    <dgm:linClrLst meth="repeat">
      <a:schemeClr val="lt2"/>
    </dgm:linClrLst>
    <dgm:effectClrLst/>
    <dgm:txLinClrLst/>
    <dgm:txFillClrLst/>
    <dgm:txEffectClrLst/>
  </dgm:styleLbl>
  <dgm:styleLbl name="asst2">
    <dgm:fillClrLst meth="repeat">
      <a:schemeClr val="dk2"/>
    </dgm:fillClrLst>
    <dgm:linClrLst meth="repeat">
      <a:schemeClr val="lt2"/>
    </dgm:linClrLst>
    <dgm:effectClrLst/>
    <dgm:txLinClrLst/>
    <dgm:txFillClrLst/>
    <dgm:txEffectClrLst/>
  </dgm:styleLbl>
  <dgm:styleLbl name="asst3">
    <dgm:fillClrLst meth="repeat">
      <a:schemeClr val="dk2"/>
    </dgm:fillClrLst>
    <dgm:linClrLst meth="repeat">
      <a:schemeClr val="lt2"/>
    </dgm:linClrLst>
    <dgm:effectClrLst/>
    <dgm:txLinClrLst/>
    <dgm:txFillClrLst/>
    <dgm:txEffectClrLst/>
  </dgm:styleLbl>
  <dgm:styleLbl name="asst4">
    <dgm:fillClrLst meth="repeat">
      <a:schemeClr val="dk2"/>
    </dgm:fillClrLst>
    <dgm:linClrLst meth="repeat">
      <a:schemeClr val="lt2"/>
    </dgm:linClrLst>
    <dgm:effectClrLst/>
    <dgm:txLinClrLst/>
    <dgm:txFillClrLst/>
    <dgm:txEffectClrLst/>
  </dgm:styleLbl>
  <dgm:styleLbl name="parChTrans2D1">
    <dgm:fillClrLst meth="repeat">
      <a:schemeClr val="dk2">
        <a:tint val="60000"/>
      </a:schemeClr>
    </dgm:fillClrLst>
    <dgm:linClrLst meth="repeat">
      <a:schemeClr val="dk2">
        <a:tint val="60000"/>
      </a:schemeClr>
    </dgm:linClrLst>
    <dgm:effectClrLst/>
    <dgm:txLinClrLst/>
    <dgm:txFillClrLst meth="repeat">
      <a:schemeClr val="lt2"/>
    </dgm:txFillClrLst>
    <dgm:txEffectClrLst/>
  </dgm:styleLbl>
  <dgm:styleLbl name="parChTrans2D2">
    <dgm:fillClrLst meth="repeat">
      <a:schemeClr val="dk2"/>
    </dgm:fillClrLst>
    <dgm:linClrLst meth="repeat">
      <a:schemeClr val="dk2"/>
    </dgm:linClrLst>
    <dgm:effectClrLst/>
    <dgm:txLinClrLst/>
    <dgm:txFillClrLst meth="repeat">
      <a:schemeClr val="lt2"/>
    </dgm:txFillClrLst>
    <dgm:txEffectClrLst/>
  </dgm:styleLbl>
  <dgm:styleLbl name="parChTrans2D3">
    <dgm:fillClrLst meth="repeat">
      <a:schemeClr val="dk2"/>
    </dgm:fillClrLst>
    <dgm:linClrLst meth="repeat">
      <a:schemeClr val="dk2"/>
    </dgm:linClrLst>
    <dgm:effectClrLst/>
    <dgm:txLinClrLst/>
    <dgm:txFillClrLst meth="repeat">
      <a:schemeClr val="lt2"/>
    </dgm:txFillClrLst>
    <dgm:txEffectClrLst/>
  </dgm:styleLbl>
  <dgm:styleLbl name="parChTrans2D4">
    <dgm:fillClrLst meth="repeat">
      <a:schemeClr val="dk2"/>
    </dgm:fillClrLst>
    <dgm:linClrLst meth="repeat">
      <a:schemeClr val="dk2"/>
    </dgm:linClrLst>
    <dgm:effectClrLst/>
    <dgm:txLinClrLst/>
    <dgm:txFillClrLst meth="repeat">
      <a:schemeClr val="lt2"/>
    </dgm:txFillClrLst>
    <dgm:txEffectClrLst/>
  </dgm:styleLbl>
  <dgm:styleLbl name="parChTrans1D1">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2">
    <dgm:fillClrLst meth="repeat">
      <a:schemeClr val="dk2"/>
    </dgm:fillClrLst>
    <dgm:linClrLst meth="repeat">
      <a:schemeClr val="dk2">
        <a:shade val="60000"/>
      </a:schemeClr>
    </dgm:linClrLst>
    <dgm:effectClrLst/>
    <dgm:txLinClrLst/>
    <dgm:txFillClrLst meth="repeat">
      <a:schemeClr val="tx1"/>
    </dgm:txFillClrLst>
    <dgm:txEffectClrLst/>
  </dgm:styleLbl>
  <dgm:styleLbl name="parChTrans1D3">
    <dgm:fillClrLst meth="repeat">
      <a:schemeClr val="dk2"/>
    </dgm:fillClrLst>
    <dgm:linClrLst meth="repeat">
      <a:schemeClr val="dk2">
        <a:shade val="80000"/>
      </a:schemeClr>
    </dgm:linClrLst>
    <dgm:effectClrLst/>
    <dgm:txLinClrLst/>
    <dgm:txFillClrLst meth="repeat">
      <a:schemeClr val="tx1"/>
    </dgm:txFillClrLst>
    <dgm:txEffectClrLst/>
  </dgm:styleLbl>
  <dgm:styleLbl name="parChTrans1D4">
    <dgm:fillClrLst meth="repeat">
      <a:schemeClr val="dk2"/>
    </dgm:fillClrLst>
    <dgm:linClrLst meth="repeat">
      <a:schemeClr val="dk2">
        <a:shade val="80000"/>
      </a:schemeClr>
    </dgm:linClrLst>
    <dgm:effectClrLst/>
    <dgm:txLinClrLst/>
    <dgm:txFillClrLst meth="repeat">
      <a:schemeClr val="tx1"/>
    </dgm:txFillClrLst>
    <dgm:txEffectClrLst/>
  </dgm:styleLbl>
  <dgm:styleLbl name="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conF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align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trAlignAcc1">
    <dgm:fillClrLst meth="repeat">
      <a:schemeClr val="lt2">
        <a:alpha val="40000"/>
      </a:schemeClr>
    </dgm:fillClrLst>
    <dgm:linClrLst meth="repeat">
      <a:schemeClr val="dk2"/>
    </dgm:linClrLst>
    <dgm:effectClrLst/>
    <dgm:txLinClrLst/>
    <dgm:txFillClrLst meth="repeat">
      <a:schemeClr val="dk1"/>
    </dgm:txFillClrLst>
    <dgm:txEffectClrLst/>
  </dgm:styleLbl>
  <dgm:styleLbl name="bgAcc1">
    <dgm:fillClrLst meth="repeat">
      <a:schemeClr val="lt2">
        <a:alpha val="90000"/>
      </a:schemeClr>
    </dgm:fillClrLst>
    <dgm:linClrLst meth="repeat">
      <a:schemeClr val="dk2"/>
    </dgm:linClrLst>
    <dgm:effectClrLst/>
    <dgm:txLinClrLst/>
    <dgm:txFillClrLst meth="repeat">
      <a:schemeClr val="dk1"/>
    </dgm:txFillClrLst>
    <dgm:txEffectClrLst/>
  </dgm:styleLbl>
  <dgm:styleLbl name="solidFgAcc1">
    <dgm:fillClrLst meth="repeat">
      <a:schemeClr val="lt2"/>
    </dgm:fillClrLst>
    <dgm:linClrLst meth="repeat">
      <a:schemeClr val="dk2"/>
    </dgm:linClrLst>
    <dgm:effectClrLst/>
    <dgm:txLinClrLst/>
    <dgm:txFillClrLst meth="repeat">
      <a:schemeClr val="dk1"/>
    </dgm:txFillClrLst>
    <dgm:txEffectClrLst/>
  </dgm:styleLbl>
  <dgm:styleLbl name="solidAlignAcc1">
    <dgm:fillClrLst meth="repeat">
      <a:schemeClr val="lt2"/>
    </dgm:fillClrLst>
    <dgm:linClrLst meth="repeat">
      <a:schemeClr val="dk2"/>
    </dgm:linClrLst>
    <dgm:effectClrLst/>
    <dgm:txLinClrLst/>
    <dgm:txFillClrLst meth="repeat">
      <a:schemeClr val="dk1"/>
    </dgm:txFillClrLst>
    <dgm:txEffectClrLst/>
  </dgm:styleLbl>
  <dgm:styleLbl name="solidBgAcc1">
    <dgm:fillClrLst meth="repeat">
      <a:schemeClr val="lt2"/>
    </dgm:fillClrLst>
    <dgm:linClrLst meth="repeat">
      <a:schemeClr val="dk2"/>
    </dgm:linClrLst>
    <dgm:effectClrLst/>
    <dgm:txLinClrLst/>
    <dgm:txFillClrLst meth="repeat">
      <a:schemeClr val="dk1"/>
    </dgm:txFillClrLst>
    <dgm:txEffectClrLst/>
  </dgm:styleLbl>
  <dgm:styleLbl name="f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align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bgAccFollowNode1">
    <dgm:fillClrLst meth="repeat">
      <a:schemeClr val="dk2">
        <a:alpha val="90000"/>
        <a:tint val="40000"/>
      </a:schemeClr>
    </dgm:fillClrLst>
    <dgm:linClrLst meth="repeat">
      <a:schemeClr val="dk2">
        <a:alpha val="90000"/>
        <a:tint val="40000"/>
      </a:schemeClr>
    </dgm:linClrLst>
    <dgm:effectClrLst/>
    <dgm:txLinClrLst/>
    <dgm:txFillClrLst meth="repeat">
      <a:schemeClr val="dk1"/>
    </dgm:txFillClrLst>
    <dgm:txEffectClrLst/>
  </dgm:styleLbl>
  <dgm:styleLbl name="fgAcc0">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2">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3">
    <dgm:fillClrLst meth="repeat">
      <a:schemeClr val="lt2">
        <a:alpha val="90000"/>
      </a:schemeClr>
    </dgm:fillClrLst>
    <dgm:linClrLst meth="repeat">
      <a:schemeClr val="dk2"/>
    </dgm:linClrLst>
    <dgm:effectClrLst/>
    <dgm:txLinClrLst/>
    <dgm:txFillClrLst meth="repeat">
      <a:schemeClr val="dk1"/>
    </dgm:txFillClrLst>
    <dgm:txEffectClrLst/>
  </dgm:styleLbl>
  <dgm:styleLbl name="fgAcc4">
    <dgm:fillClrLst meth="repeat">
      <a:schemeClr val="lt2">
        <a:alpha val="90000"/>
      </a:schemeClr>
    </dgm:fillClrLst>
    <dgm:linClrLst meth="repeat">
      <a:schemeClr val="dk2"/>
    </dgm:linClrLst>
    <dgm:effectClrLst/>
    <dgm:txLinClrLst/>
    <dgm:txFillClrLst meth="repeat">
      <a:schemeClr val="dk1"/>
    </dgm:txFillClrLst>
    <dgm:txEffectClrLst/>
  </dgm:styleLbl>
  <dgm:styleLbl name="bgShp">
    <dgm:fillClrLst meth="repeat">
      <a:schemeClr val="dk2">
        <a:tint val="40000"/>
      </a:schemeClr>
    </dgm:fillClrLst>
    <dgm:linClrLst meth="repeat">
      <a:schemeClr val="dk2"/>
    </dgm:linClrLst>
    <dgm:effectClrLst/>
    <dgm:txLinClrLst/>
    <dgm:txFillClrLst meth="repeat">
      <a:schemeClr val="dk1"/>
    </dgm:txFillClrLst>
    <dgm:txEffectClrLst/>
  </dgm:styleLbl>
  <dgm:styleLbl name="dkBgShp">
    <dgm:fillClrLst meth="repeat">
      <a:schemeClr val="dk2">
        <a:shade val="80000"/>
      </a:schemeClr>
    </dgm:fillClrLst>
    <dgm:linClrLst meth="repeat">
      <a:schemeClr val="dk2"/>
    </dgm:linClrLst>
    <dgm:effectClrLst/>
    <dgm:txLinClrLst/>
    <dgm:txFillClrLst meth="repeat">
      <a:schemeClr val="lt1"/>
    </dgm:txFillClrLst>
    <dgm:txEffectClrLst/>
  </dgm:styleLbl>
  <dgm:styleLbl name="trBgShp">
    <dgm:fillClrLst meth="repeat">
      <a:schemeClr val="dk2">
        <a:tint val="50000"/>
        <a:alpha val="40000"/>
      </a:schemeClr>
    </dgm:fillClrLst>
    <dgm:linClrLst meth="repeat">
      <a:schemeClr val="dk2"/>
    </dgm:linClrLst>
    <dgm:effectClrLst/>
    <dgm:txLinClrLst/>
    <dgm:txFillClrLst meth="repeat">
      <a:schemeClr val="lt1"/>
    </dgm:txFillClrLst>
    <dgm:txEffectClrLst/>
  </dgm:styleLbl>
  <dgm:styleLbl name="fgShp">
    <dgm:fillClrLst meth="repeat">
      <a:schemeClr val="dk2">
        <a:tint val="60000"/>
      </a:schemeClr>
    </dgm:fillClrLst>
    <dgm:linClrLst meth="repeat">
      <a:schemeClr val="lt2"/>
    </dgm:linClrLst>
    <dgm:effectClrLst/>
    <dgm:txLinClrLst/>
    <dgm:txFillClrLst meth="repeat">
      <a:schemeClr val="dk1"/>
    </dgm:txFillClrLst>
    <dgm:txEffectClrLst/>
  </dgm:styleLbl>
  <dgm:styleLbl name="revTx">
    <dgm:fillClrLst meth="repeat">
      <a:schemeClr val="lt2">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AECED95D-3C77-4884-9BC9-DB5976E6468B}" type="doc">
      <dgm:prSet loTypeId="urn:microsoft.com/office/officeart/2005/8/layout/vList2" loCatId="list" qsTypeId="urn:microsoft.com/office/officeart/2005/8/quickstyle/3d2" qsCatId="3D" csTypeId="urn:microsoft.com/office/officeart/2005/8/colors/accent0_3" csCatId="mainScheme" phldr="1"/>
      <dgm:spPr/>
      <dgm:t>
        <a:bodyPr/>
        <a:lstStyle/>
        <a:p>
          <a:endParaRPr lang="en-IN"/>
        </a:p>
      </dgm:t>
    </dgm:pt>
    <dgm:pt modelId="{3FDA20DD-0175-4B7C-A12F-7D40CA305BD5}">
      <dgm:prSet phldrT="[Text]"/>
      <dgm:spPr/>
      <dgm:t>
        <a:bodyPr/>
        <a:lstStyle/>
        <a:p>
          <a:r>
            <a:rPr lang="en-IN"/>
            <a:t>Total Revenue = 531255808</a:t>
          </a:r>
        </a:p>
      </dgm:t>
    </dgm:pt>
    <dgm:pt modelId="{279B918E-7AAF-40E1-B7E0-8276F41F7B31}" type="parTrans" cxnId="{AAF2847B-7735-446A-8D15-DBE20937282B}">
      <dgm:prSet/>
      <dgm:spPr/>
      <dgm:t>
        <a:bodyPr/>
        <a:lstStyle/>
        <a:p>
          <a:endParaRPr lang="en-IN"/>
        </a:p>
      </dgm:t>
    </dgm:pt>
    <dgm:pt modelId="{3F8884EF-4193-423F-918B-05ACE8380EEE}" type="sibTrans" cxnId="{AAF2847B-7735-446A-8D15-DBE20937282B}">
      <dgm:prSet/>
      <dgm:spPr/>
      <dgm:t>
        <a:bodyPr/>
        <a:lstStyle/>
        <a:p>
          <a:endParaRPr lang="en-IN"/>
        </a:p>
      </dgm:t>
    </dgm:pt>
    <dgm:pt modelId="{96EC09BE-CFC7-4815-B5E1-B66EC960AF3F}">
      <dgm:prSet phldrT="[Text]"/>
      <dgm:spPr/>
      <dgm:t>
        <a:bodyPr/>
        <a:lstStyle/>
        <a:p>
          <a:r>
            <a:rPr lang="en-IN"/>
            <a:t>Top sold Product = iphone 13 &gt; 637 unit</a:t>
          </a:r>
        </a:p>
      </dgm:t>
    </dgm:pt>
    <dgm:pt modelId="{9CFFF28F-C310-499A-A6A3-BCB5157342FB}" type="parTrans" cxnId="{2F9093C1-9336-47E2-900E-CD86421FA078}">
      <dgm:prSet/>
      <dgm:spPr/>
      <dgm:t>
        <a:bodyPr/>
        <a:lstStyle/>
        <a:p>
          <a:endParaRPr lang="en-IN"/>
        </a:p>
      </dgm:t>
    </dgm:pt>
    <dgm:pt modelId="{C57F6D11-5DE4-4D9E-9D8D-75E277DF1131}" type="sibTrans" cxnId="{2F9093C1-9336-47E2-900E-CD86421FA078}">
      <dgm:prSet/>
      <dgm:spPr/>
      <dgm:t>
        <a:bodyPr/>
        <a:lstStyle/>
        <a:p>
          <a:endParaRPr lang="en-IN"/>
        </a:p>
      </dgm:t>
    </dgm:pt>
    <dgm:pt modelId="{08598821-7EBE-4F2F-9562-C6AEA3D891FE}">
      <dgm:prSet phldrT="[Text]"/>
      <dgm:spPr/>
      <dgm:t>
        <a:bodyPr/>
        <a:lstStyle/>
        <a:p>
          <a:r>
            <a:rPr lang="en-IN"/>
            <a:t>Top Region = Australia</a:t>
          </a:r>
        </a:p>
      </dgm:t>
    </dgm:pt>
    <dgm:pt modelId="{A19224A7-8972-46C2-B36A-D273365B9517}" type="parTrans" cxnId="{6BCFB698-DDF0-412A-B37E-08BDD0BCA4EC}">
      <dgm:prSet/>
      <dgm:spPr/>
      <dgm:t>
        <a:bodyPr/>
        <a:lstStyle/>
        <a:p>
          <a:endParaRPr lang="en-IN"/>
        </a:p>
      </dgm:t>
    </dgm:pt>
    <dgm:pt modelId="{5F222193-A015-4463-8BB8-55CF26B2C644}" type="sibTrans" cxnId="{6BCFB698-DDF0-412A-B37E-08BDD0BCA4EC}">
      <dgm:prSet/>
      <dgm:spPr/>
      <dgm:t>
        <a:bodyPr/>
        <a:lstStyle/>
        <a:p>
          <a:endParaRPr lang="en-IN"/>
        </a:p>
      </dgm:t>
    </dgm:pt>
    <dgm:pt modelId="{38F01ABC-F2AA-49EA-AF79-A724E137CD47}" type="pres">
      <dgm:prSet presAssocID="{AECED95D-3C77-4884-9BC9-DB5976E6468B}" presName="linear" presStyleCnt="0">
        <dgm:presLayoutVars>
          <dgm:animLvl val="lvl"/>
          <dgm:resizeHandles val="exact"/>
        </dgm:presLayoutVars>
      </dgm:prSet>
      <dgm:spPr/>
    </dgm:pt>
    <dgm:pt modelId="{5773F5F3-03DC-410E-A992-6B14F8A09BA7}" type="pres">
      <dgm:prSet presAssocID="{3FDA20DD-0175-4B7C-A12F-7D40CA305BD5}" presName="parentText" presStyleLbl="node1" presStyleIdx="0" presStyleCnt="3">
        <dgm:presLayoutVars>
          <dgm:chMax val="0"/>
          <dgm:bulletEnabled val="1"/>
        </dgm:presLayoutVars>
      </dgm:prSet>
      <dgm:spPr/>
    </dgm:pt>
    <dgm:pt modelId="{52C93293-8AFA-47A0-8D6C-70BC0B1DFD57}" type="pres">
      <dgm:prSet presAssocID="{3F8884EF-4193-423F-918B-05ACE8380EEE}" presName="spacer" presStyleCnt="0"/>
      <dgm:spPr/>
    </dgm:pt>
    <dgm:pt modelId="{2717E900-036F-4F28-AEAC-E6FD5E68F973}" type="pres">
      <dgm:prSet presAssocID="{96EC09BE-CFC7-4815-B5E1-B66EC960AF3F}" presName="parentText" presStyleLbl="node1" presStyleIdx="1" presStyleCnt="3">
        <dgm:presLayoutVars>
          <dgm:chMax val="0"/>
          <dgm:bulletEnabled val="1"/>
        </dgm:presLayoutVars>
      </dgm:prSet>
      <dgm:spPr/>
    </dgm:pt>
    <dgm:pt modelId="{E5EBE597-C425-4CD5-B076-182907B18764}" type="pres">
      <dgm:prSet presAssocID="{C57F6D11-5DE4-4D9E-9D8D-75E277DF1131}" presName="spacer" presStyleCnt="0"/>
      <dgm:spPr/>
    </dgm:pt>
    <dgm:pt modelId="{AFAED7D5-877D-4180-B850-456538703DC2}" type="pres">
      <dgm:prSet presAssocID="{08598821-7EBE-4F2F-9562-C6AEA3D891FE}" presName="parentText" presStyleLbl="node1" presStyleIdx="2" presStyleCnt="3">
        <dgm:presLayoutVars>
          <dgm:chMax val="0"/>
          <dgm:bulletEnabled val="1"/>
        </dgm:presLayoutVars>
      </dgm:prSet>
      <dgm:spPr/>
    </dgm:pt>
  </dgm:ptLst>
  <dgm:cxnLst>
    <dgm:cxn modelId="{5409372B-4327-44B9-ACDA-722422C224F5}" type="presOf" srcId="{AECED95D-3C77-4884-9BC9-DB5976E6468B}" destId="{38F01ABC-F2AA-49EA-AF79-A724E137CD47}" srcOrd="0" destOrd="0" presId="urn:microsoft.com/office/officeart/2005/8/layout/vList2"/>
    <dgm:cxn modelId="{45FE613E-7D7A-49B8-B0C6-48FCC3656690}" type="presOf" srcId="{3FDA20DD-0175-4B7C-A12F-7D40CA305BD5}" destId="{5773F5F3-03DC-410E-A992-6B14F8A09BA7}" srcOrd="0" destOrd="0" presId="urn:microsoft.com/office/officeart/2005/8/layout/vList2"/>
    <dgm:cxn modelId="{80072D5D-D6A8-465E-B4EB-5DE5B2CD0194}" type="presOf" srcId="{96EC09BE-CFC7-4815-B5E1-B66EC960AF3F}" destId="{2717E900-036F-4F28-AEAC-E6FD5E68F973}" srcOrd="0" destOrd="0" presId="urn:microsoft.com/office/officeart/2005/8/layout/vList2"/>
    <dgm:cxn modelId="{AAF2847B-7735-446A-8D15-DBE20937282B}" srcId="{AECED95D-3C77-4884-9BC9-DB5976E6468B}" destId="{3FDA20DD-0175-4B7C-A12F-7D40CA305BD5}" srcOrd="0" destOrd="0" parTransId="{279B918E-7AAF-40E1-B7E0-8276F41F7B31}" sibTransId="{3F8884EF-4193-423F-918B-05ACE8380EEE}"/>
    <dgm:cxn modelId="{A4D1238C-ABB1-4CFF-A8F8-626658131B61}" type="presOf" srcId="{08598821-7EBE-4F2F-9562-C6AEA3D891FE}" destId="{AFAED7D5-877D-4180-B850-456538703DC2}" srcOrd="0" destOrd="0" presId="urn:microsoft.com/office/officeart/2005/8/layout/vList2"/>
    <dgm:cxn modelId="{6BCFB698-DDF0-412A-B37E-08BDD0BCA4EC}" srcId="{AECED95D-3C77-4884-9BC9-DB5976E6468B}" destId="{08598821-7EBE-4F2F-9562-C6AEA3D891FE}" srcOrd="2" destOrd="0" parTransId="{A19224A7-8972-46C2-B36A-D273365B9517}" sibTransId="{5F222193-A015-4463-8BB8-55CF26B2C644}"/>
    <dgm:cxn modelId="{2F9093C1-9336-47E2-900E-CD86421FA078}" srcId="{AECED95D-3C77-4884-9BC9-DB5976E6468B}" destId="{96EC09BE-CFC7-4815-B5E1-B66EC960AF3F}" srcOrd="1" destOrd="0" parTransId="{9CFFF28F-C310-499A-A6A3-BCB5157342FB}" sibTransId="{C57F6D11-5DE4-4D9E-9D8D-75E277DF1131}"/>
    <dgm:cxn modelId="{56869AA3-AD4F-4F3D-B887-DF4EBBBB7317}" type="presParOf" srcId="{38F01ABC-F2AA-49EA-AF79-A724E137CD47}" destId="{5773F5F3-03DC-410E-A992-6B14F8A09BA7}" srcOrd="0" destOrd="0" presId="urn:microsoft.com/office/officeart/2005/8/layout/vList2"/>
    <dgm:cxn modelId="{5ADE9477-0A03-4C8B-87DA-9F38C571D3E0}" type="presParOf" srcId="{38F01ABC-F2AA-49EA-AF79-A724E137CD47}" destId="{52C93293-8AFA-47A0-8D6C-70BC0B1DFD57}" srcOrd="1" destOrd="0" presId="urn:microsoft.com/office/officeart/2005/8/layout/vList2"/>
    <dgm:cxn modelId="{8BBAB4DE-8017-4314-BB43-5C94B02E58DD}" type="presParOf" srcId="{38F01ABC-F2AA-49EA-AF79-A724E137CD47}" destId="{2717E900-036F-4F28-AEAC-E6FD5E68F973}" srcOrd="2" destOrd="0" presId="urn:microsoft.com/office/officeart/2005/8/layout/vList2"/>
    <dgm:cxn modelId="{BF4EFDA0-4C83-4A1E-B837-D2ABDE970B61}" type="presParOf" srcId="{38F01ABC-F2AA-49EA-AF79-A724E137CD47}" destId="{E5EBE597-C425-4CD5-B076-182907B18764}" srcOrd="3" destOrd="0" presId="urn:microsoft.com/office/officeart/2005/8/layout/vList2"/>
    <dgm:cxn modelId="{E4C0920E-5BCA-4B25-8E2B-8182A1BD3674}" type="presParOf" srcId="{38F01ABC-F2AA-49EA-AF79-A724E137CD47}" destId="{AFAED7D5-877D-4180-B850-456538703DC2}" srcOrd="4" destOrd="0" presId="urn:microsoft.com/office/officeart/2005/8/layout/vList2"/>
  </dgm:cxnLst>
  <dgm:bg>
    <a:solidFill>
      <a:schemeClr val="bg2"/>
    </a:solidFill>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773F5F3-03DC-410E-A992-6B14F8A09BA7}">
      <dsp:nvSpPr>
        <dsp:cNvPr id="0" name=""/>
        <dsp:cNvSpPr/>
      </dsp:nvSpPr>
      <dsp:spPr>
        <a:xfrm>
          <a:off x="0" y="346135"/>
          <a:ext cx="7502677"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Total Revenue = 531255808</a:t>
          </a:r>
        </a:p>
      </dsp:txBody>
      <dsp:txXfrm>
        <a:off x="36553" y="382688"/>
        <a:ext cx="7429571" cy="675694"/>
      </dsp:txXfrm>
    </dsp:sp>
    <dsp:sp modelId="{2717E900-036F-4F28-AEAC-E6FD5E68F973}">
      <dsp:nvSpPr>
        <dsp:cNvPr id="0" name=""/>
        <dsp:cNvSpPr/>
      </dsp:nvSpPr>
      <dsp:spPr>
        <a:xfrm>
          <a:off x="0" y="1187095"/>
          <a:ext cx="7502677"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Top sold Product = iphone 13 &gt; 637 unit</a:t>
          </a:r>
        </a:p>
      </dsp:txBody>
      <dsp:txXfrm>
        <a:off x="36553" y="1223648"/>
        <a:ext cx="7429571" cy="675694"/>
      </dsp:txXfrm>
    </dsp:sp>
    <dsp:sp modelId="{AFAED7D5-877D-4180-B850-456538703DC2}">
      <dsp:nvSpPr>
        <dsp:cNvPr id="0" name=""/>
        <dsp:cNvSpPr/>
      </dsp:nvSpPr>
      <dsp:spPr>
        <a:xfrm>
          <a:off x="0" y="2028055"/>
          <a:ext cx="7502677" cy="748800"/>
        </a:xfrm>
        <a:prstGeom prst="roundRect">
          <a:avLst/>
        </a:prstGeom>
        <a:solidFill>
          <a:schemeClr val="dk2">
            <a:hueOff val="0"/>
            <a:satOff val="0"/>
            <a:lumOff val="0"/>
            <a:alphaOff val="0"/>
          </a:schemeClr>
        </a:solidFill>
        <a:ln>
          <a:noFill/>
        </a:ln>
        <a:effectLst/>
        <a:scene3d>
          <a:camera prst="orthographicFront"/>
          <a:lightRig rig="threePt" dir="t">
            <a:rot lat="0" lon="0" rev="7500000"/>
          </a:lightRig>
        </a:scene3d>
        <a:sp3d prstMaterial="plastic">
          <a:bevelT w="127000" h="25400" prst="relaxedInset"/>
        </a:sp3d>
      </dsp:spPr>
      <dsp:style>
        <a:lnRef idx="0">
          <a:scrgbClr r="0" g="0" b="0"/>
        </a:lnRef>
        <a:fillRef idx="3">
          <a:scrgbClr r="0" g="0" b="0"/>
        </a:fillRef>
        <a:effectRef idx="2">
          <a:scrgbClr r="0" g="0" b="0"/>
        </a:effectRef>
        <a:fontRef idx="minor">
          <a:schemeClr val="lt1"/>
        </a:fontRef>
      </dsp:style>
      <dsp:txBody>
        <a:bodyPr spcFirstLastPara="0" vert="horz" wrap="square" lIns="121920" tIns="121920" rIns="121920" bIns="121920" numCol="1" spcCol="1270" anchor="ctr" anchorCtr="0">
          <a:noAutofit/>
        </a:bodyPr>
        <a:lstStyle/>
        <a:p>
          <a:pPr marL="0" lvl="0" indent="0" algn="l" defTabSz="1422400">
            <a:lnSpc>
              <a:spcPct val="90000"/>
            </a:lnSpc>
            <a:spcBef>
              <a:spcPct val="0"/>
            </a:spcBef>
            <a:spcAft>
              <a:spcPct val="35000"/>
            </a:spcAft>
            <a:buNone/>
          </a:pPr>
          <a:r>
            <a:rPr lang="en-IN" sz="3200" kern="1200"/>
            <a:t>Top Region = Australia</a:t>
          </a:r>
        </a:p>
      </dsp:txBody>
      <dsp:txXfrm>
        <a:off x="36553" y="2064608"/>
        <a:ext cx="7429571" cy="675694"/>
      </dsp:txXfrm>
    </dsp:sp>
  </dsp:spTree>
</dsp:drawing>
</file>

<file path=xl/diagrams/layout1.xml><?xml version="1.0" encoding="utf-8"?>
<dgm:layoutDef xmlns:dgm="http://schemas.openxmlformats.org/drawingml/2006/diagram" xmlns:a="http://schemas.openxmlformats.org/drawingml/2006/main" uniqueId="urn:microsoft.com/office/officeart/2005/8/layout/vList2">
  <dgm:title val=""/>
  <dgm:desc val=""/>
  <dgm:catLst>
    <dgm:cat type="list" pri="3000"/>
    <dgm:cat type="convert" pri="1000"/>
  </dgm:catLst>
  <dgm:sampData>
    <dgm:dataModel>
      <dgm:ptLst>
        <dgm:pt modelId="0" type="doc"/>
        <dgm:pt modelId="1">
          <dgm:prSet phldr="1"/>
        </dgm:pt>
        <dgm:pt modelId="11">
          <dgm:prSet phldr="1"/>
        </dgm:pt>
        <dgm:pt modelId="2">
          <dgm:prSet phldr="1"/>
        </dgm:pt>
        <dgm:pt modelId="21">
          <dgm:prSet phldr="1"/>
        </dgm:pt>
      </dgm:ptLst>
      <dgm:cxnLst>
        <dgm:cxn modelId="4" srcId="0" destId="1" srcOrd="0" destOrd="0"/>
        <dgm:cxn modelId="5" srcId="0" destId="2" srcOrd="1" destOrd="0"/>
        <dgm:cxn modelId="12" srcId="1" destId="11" srcOrd="0" destOrd="0"/>
        <dgm:cxn modelId="23" srcId="2" destId="21" srcOrd="0"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linear">
    <dgm:varLst>
      <dgm:animLvl val="lvl"/>
      <dgm:resizeHandles val="exact"/>
    </dgm:varLst>
    <dgm:alg type="lin">
      <dgm:param type="linDir" val="fromT"/>
      <dgm:param type="vertAlign" val="mid"/>
    </dgm:alg>
    <dgm:shape xmlns:r="http://schemas.openxmlformats.org/officeDocument/2006/relationships" r:blip="">
      <dgm:adjLst/>
    </dgm:shape>
    <dgm:presOf/>
    <dgm:constrLst>
      <dgm:constr type="w" for="ch" forName="parentText" refType="w"/>
      <dgm:constr type="h" for="ch" forName="parentText" refType="primFontSz" refFor="ch" refForName="parentText" fact="0.52"/>
      <dgm:constr type="w" for="ch" forName="childText" refType="w"/>
      <dgm:constr type="h" for="ch" forName="childText" refType="primFontSz" refFor="ch" refForName="parentText" fact="0.46"/>
      <dgm:constr type="h" for="ch" forName="parentText" op="equ"/>
      <dgm:constr type="primFontSz" for="ch" forName="parentText" op="equ" val="65"/>
      <dgm:constr type="primFontSz" for="ch" forName="childText" refType="primFontSz" refFor="ch" refForName="parentText" op="equ"/>
      <dgm:constr type="h" for="ch" forName="spacer" refType="primFontSz" refFor="ch" refForName="parentText" fact="0.08"/>
    </dgm:constrLst>
    <dgm:ruleLst>
      <dgm:rule type="primFontSz" for="ch" forName="parentText" val="5" fact="NaN" max="NaN"/>
    </dgm:ruleLst>
    <dgm:forEach name="Name0" axis="ch" ptType="node">
      <dgm:layoutNode name="parentText" styleLbl="node1">
        <dgm:varLst>
          <dgm:chMax val="0"/>
          <dgm:bulletEnabled val="1"/>
        </dgm:varLst>
        <dgm:alg type="tx">
          <dgm:param type="parTxLTRAlign" val="l"/>
          <dgm:param type="parTxRTLAlign" val="r"/>
        </dgm:alg>
        <dgm:shape xmlns:r="http://schemas.openxmlformats.org/officeDocument/2006/relationships" type="roundRect" r:blip="">
          <dgm:adjLst/>
        </dgm:shape>
        <dgm:presOf axis="self"/>
        <dgm:constrLst>
          <dgm:constr type="tMarg" refType="primFontSz" fact="0.3"/>
          <dgm:constr type="bMarg" refType="primFontSz" fact="0.3"/>
          <dgm:constr type="lMarg" refType="primFontSz" fact="0.3"/>
          <dgm:constr type="rMarg" refType="primFontSz" fact="0.3"/>
        </dgm:constrLst>
        <dgm:ruleLst>
          <dgm:rule type="h" val="INF" fact="NaN" max="NaN"/>
        </dgm:ruleLst>
      </dgm:layoutNode>
      <dgm:choose name="Name1">
        <dgm:if name="Name2" axis="ch" ptType="node" func="cnt" op="gte" val="1">
          <dgm:layoutNode name="childText" styleLbl="revTx">
            <dgm:varLst>
              <dgm:bulletEnabled val="1"/>
            </dgm:varLst>
            <dgm:alg type="tx">
              <dgm:param type="stBulletLvl" val="1"/>
              <dgm:param type="lnSpAfChP" val="20"/>
            </dgm:alg>
            <dgm:shape xmlns:r="http://schemas.openxmlformats.org/officeDocument/2006/relationships" type="rect" r:blip="">
              <dgm:adjLst/>
            </dgm:shape>
            <dgm:presOf axis="des" ptType="node"/>
            <dgm:constrLst>
              <dgm:constr type="tMarg" refType="primFontSz" fact="0.1"/>
              <dgm:constr type="bMarg" refType="primFontSz" fact="0.1"/>
              <dgm:constr type="lMarg" refType="w" fact="0.09"/>
            </dgm:constrLst>
            <dgm:ruleLst>
              <dgm:rule type="h" val="INF" fact="NaN" max="NaN"/>
            </dgm:ruleLst>
          </dgm:layoutNode>
        </dgm:if>
        <dgm:else name="Name3">
          <dgm:choose name="Name4">
            <dgm:if name="Name5" axis="par ch" ptType="doc node" func="cnt" op="gte" val="2">
              <dgm:forEach name="Name6" axis="followSib" ptType="sibTrans" cnt="1">
                <dgm:layoutNode name="spacer">
                  <dgm:alg type="sp"/>
                  <dgm:shape xmlns:r="http://schemas.openxmlformats.org/officeDocument/2006/relationships" r:blip="">
                    <dgm:adjLst/>
                  </dgm:shape>
                  <dgm:presOf/>
                  <dgm:constrLst/>
                  <dgm:ruleLst/>
                </dgm:layoutNode>
              </dgm:forEach>
            </dgm:if>
            <dgm:else name="Name7"/>
          </dgm:choos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3d2">
  <dgm:title val=""/>
  <dgm:desc val=""/>
  <dgm:catLst>
    <dgm:cat type="3D" pri="11200"/>
  </dgm:catLst>
  <dgm:scene3d>
    <a:camera prst="orthographicFront"/>
    <a:lightRig rig="threePt" dir="t"/>
  </dgm:scene3d>
  <dgm:styleLbl name="node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a:rot lat="0" lon="0" rev="7500000"/>
      </a:lightRig>
    </dgm:scene3d>
    <dgm:sp3d prstMaterial="plastic">
      <a:bevelT w="127000" h="25400" prst="relaxedInset"/>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tx1"/>
      </a:fontRef>
    </dgm:style>
  </dgm:styleLbl>
  <dgm:styleLbl name="aling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dgm:style>
  </dgm:styleLbl>
  <dgm:styleLbl name="alignImgPlace1">
    <dgm:scene3d>
      <a:camera prst="orthographicFront"/>
      <a:lightRig rig="threePt" dir="t">
        <a:rot lat="0" lon="0" rev="7500000"/>
      </a:lightRig>
    </dgm:scene3d>
    <dgm:sp3d z="2540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bgImgPlace1">
    <dgm:scene3d>
      <a:camera prst="orthographicFront"/>
      <a:lightRig rig="threePt" dir="t">
        <a:rot lat="0" lon="0" rev="7500000"/>
      </a:lightRig>
    </dgm:scene3d>
    <dgm:sp3d z="-152400" extrusionH="63500" contourW="12700" prstMaterial="matte">
      <a:contourClr>
        <a:schemeClr val="lt1"/>
      </a:contourClr>
    </dgm:sp3d>
    <dgm:txPr/>
    <dgm:style>
      <a:lnRef idx="0">
        <a:scrgbClr r="0" g="0" b="0"/>
      </a:lnRef>
      <a:fillRef idx="1">
        <a:scrgbClr r="0" g="0" b="0"/>
      </a:fillRef>
      <a:effectRef idx="0">
        <a:scrgbClr r="0" g="0" b="0"/>
      </a:effectRef>
      <a:fontRef idx="minor"/>
    </dgm:style>
  </dgm:styleLbl>
  <dgm:styleLbl name="sibTrans2D1">
    <dgm:scene3d>
      <a:camera prst="orthographicFront"/>
      <a:lightRig rig="threePt" dir="t">
        <a:rot lat="0" lon="0" rev="7500000"/>
      </a:lightRig>
    </dgm:scene3d>
    <dgm:sp3d z="-700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f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bgSibTrans2D1">
    <dgm:scene3d>
      <a:camera prst="orthographicFront"/>
      <a:lightRig rig="threePt" dir="t">
        <a:rot lat="0" lon="0" rev="7500000"/>
      </a:lightRig>
    </dgm:scene3d>
    <dgm:sp3d z="-152400" extrusionH="63500" prstMaterial="matte">
      <a:bevelT w="25400" h="63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sibTrans1D1">
    <dgm:scene3d>
      <a:camera prst="orthographicFront"/>
      <a:lightRig rig="threePt" dir="t">
        <a:rot lat="0" lon="0" rev="7500000"/>
      </a:lightRig>
    </dgm:scene3d>
    <dgm:sp3d z="-40000" prstMaterial="matte"/>
    <dgm:txPr/>
    <dgm:style>
      <a:lnRef idx="1">
        <a:scrgbClr r="0" g="0" b="0"/>
      </a:lnRef>
      <a:fillRef idx="0">
        <a:scrgbClr r="0" g="0" b="0"/>
      </a:fillRef>
      <a:effectRef idx="0">
        <a:scrgbClr r="0" g="0" b="0"/>
      </a:effectRef>
      <a:fontRef idx="minor"/>
    </dgm:style>
  </dgm:styleLbl>
  <dgm:styleLbl name="callout">
    <dgm:scene3d>
      <a:camera prst="orthographicFront"/>
      <a:lightRig rig="threePt" dir="t">
        <a:rot lat="0" lon="0" rev="7500000"/>
      </a:lightRig>
    </dgm:scene3d>
    <dgm:sp3d z="127000" prstMaterial="matte"/>
    <dgm:txPr/>
    <dgm:style>
      <a:lnRef idx="2">
        <a:scrgbClr r="0" g="0" b="0"/>
      </a:lnRef>
      <a:fillRef idx="1">
        <a:scrgbClr r="0" g="0" b="0"/>
      </a:fillRef>
      <a:effectRef idx="0">
        <a:scrgbClr r="0" g="0" b="0"/>
      </a:effectRef>
      <a:fontRef idx="minor"/>
    </dgm:style>
  </dgm:styleLbl>
  <dgm:styleLbl name="asst0">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a:rot lat="0" lon="0" rev="7500000"/>
      </a:lightRig>
    </dgm:scene3d>
    <dgm:sp3d prstMaterial="plastic">
      <a:bevelT w="127000" h="25400" prst="relaxedInset"/>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parChTrans2D2">
    <dgm:scene3d>
      <a:camera prst="orthographicFront"/>
      <a:lightRig rig="threePt" dir="t">
        <a:rot lat="0" lon="0" rev="7500000"/>
      </a:lightRig>
    </dgm:scene3d>
    <dgm:sp3d extrusionH="63500" prstMaterial="matte">
      <a:bevelT w="50800" h="19050" prst="relaxedInset"/>
      <a:contourClr>
        <a:schemeClr val="bg1"/>
      </a:contourClr>
    </dgm:sp3d>
    <dgm:txPr/>
    <dgm:style>
      <a:lnRef idx="0">
        <a:scrgbClr r="0" g="0" b="0"/>
      </a:lnRef>
      <a:fillRef idx="1">
        <a:scrgbClr r="0" g="0" b="0"/>
      </a:fillRef>
      <a:effectRef idx="0">
        <a:scrgbClr r="0" g="0" b="0"/>
      </a:effectRef>
      <a:fontRef idx="minor">
        <a:schemeClr val="lt1"/>
      </a:fontRef>
    </dgm:style>
  </dgm:styleLbl>
  <dgm:styleLbl name="parChTrans2D3">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2D4">
    <dgm:scene3d>
      <a:camera prst="orthographicFront"/>
      <a:lightRig rig="threePt" dir="t">
        <a:rot lat="0" lon="0" rev="7500000"/>
      </a:lightRig>
    </dgm:scene3d>
    <dgm:sp3d z="60000" prstMaterial="flat">
      <a:bevelT w="120900" h="88900"/>
    </dgm:sp3d>
    <dgm:txPr/>
    <dgm:style>
      <a:lnRef idx="0">
        <a:scrgbClr r="0" g="0" b="0"/>
      </a:lnRef>
      <a:fillRef idx="3">
        <a:scrgbClr r="0" g="0" b="0"/>
      </a:fillRef>
      <a:effectRef idx="1">
        <a:scrgbClr r="0" g="0" b="0"/>
      </a:effectRef>
      <a:fontRef idx="minor">
        <a:schemeClr val="lt1"/>
      </a:fontRef>
    </dgm:style>
  </dgm:styleLbl>
  <dgm:styleLbl name="parChTrans1D1">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a:rot lat="0" lon="0" rev="7500000"/>
      </a:lightRig>
    </dgm:scene3d>
    <dgm:sp3d z="-40000" prstMaterial="matte"/>
    <dgm:txPr/>
    <dgm:style>
      <a:lnRef idx="2">
        <a:scrgbClr r="0" g="0" b="0"/>
      </a:lnRef>
      <a:fillRef idx="0">
        <a:scrgbClr r="0" g="0" b="0"/>
      </a:fillRef>
      <a:effectRef idx="0">
        <a:scrgbClr r="0" g="0" b="0"/>
      </a:effectRef>
      <a:fontRef idx="minor"/>
    </dgm:style>
  </dgm:styleLbl>
  <dgm:styleLbl name="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conFgAcc1">
    <dgm:scene3d>
      <a:camera prst="orthographicFront"/>
      <a:lightRig rig="threePt" dir="t">
        <a:rot lat="0" lon="0" rev="7500000"/>
      </a:lightRig>
    </dgm:scene3d>
    <dgm:sp3d z="152400" extrusionH="63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alignAcc1">
    <dgm:scene3d>
      <a:camera prst="orthographicFront"/>
      <a:lightRig rig="threePt" dir="t">
        <a:rot lat="0" lon="0" rev="7500000"/>
      </a:lightRig>
    </dgm:scene3d>
    <dgm:sp3d extrusionH="190500" prstMaterial="dkEdge">
      <a:bevelT w="135400" h="16350" prst="relaxedInset"/>
      <a:contourClr>
        <a:schemeClr val="bg1"/>
      </a:contourClr>
    </dgm:sp3d>
    <dgm:txPr/>
    <dgm:style>
      <a:lnRef idx="1">
        <a:scrgbClr r="0" g="0" b="0"/>
      </a:lnRef>
      <a:fillRef idx="1">
        <a:scrgbClr r="0" g="0" b="0"/>
      </a:fillRef>
      <a:effectRef idx="2">
        <a:scrgbClr r="0" g="0" b="0"/>
      </a:effectRef>
      <a:fontRef idx="minor"/>
    </dgm:style>
  </dgm:styleLbl>
  <dgm:styleLbl name="trAlignAcc1">
    <dgm:scene3d>
      <a:camera prst="orthographicFront"/>
      <a:lightRig rig="threePt" dir="t">
        <a:rot lat="0" lon="0" rev="7500000"/>
      </a:lightRig>
    </dgm:scene3d>
    <dgm:sp3d prstMaterial="plastic">
      <a:bevelT w="127000" h="35400"/>
    </dgm:sp3d>
    <dgm:txPr/>
    <dgm:style>
      <a:lnRef idx="1">
        <a:scrgbClr r="0" g="0" b="0"/>
      </a:lnRef>
      <a:fillRef idx="1">
        <a:scrgbClr r="0" g="0" b="0"/>
      </a:fillRef>
      <a:effectRef idx="2">
        <a:scrgbClr r="0" g="0" b="0"/>
      </a:effectRef>
      <a:fontRef idx="minor">
        <a:schemeClr val="lt1"/>
      </a:fontRef>
    </dgm:style>
  </dgm:styleLbl>
  <dgm:styleLbl name="bgAcc1">
    <dgm:scene3d>
      <a:camera prst="orthographicFront"/>
      <a:lightRig rig="threePt" dir="t">
        <a:rot lat="0" lon="0" rev="7500000"/>
      </a:lightRig>
    </dgm:scene3d>
    <dgm:sp3d z="-152400" extrusionH="63500" prstMaterial="dkEdge">
      <a:bevelT w="124450" h="16350" prst="relaxedInset"/>
      <a:contourClr>
        <a:schemeClr val="bg1"/>
      </a:contourClr>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a:rot lat="0" lon="0" rev="7500000"/>
      </a:lightRig>
    </dgm:scene3d>
    <dgm:sp3d z="152400" extrusionH="63500" prstMaterial="dkEdge">
      <a:bevelT w="120800" h="19050" prst="relaxedInset"/>
      <a:contourClr>
        <a:schemeClr val="bg1"/>
      </a:contourClr>
    </dgm:sp3d>
    <dgm:txPr/>
    <dgm:style>
      <a:lnRef idx="1">
        <a:scrgbClr r="0" g="0" b="0"/>
      </a:lnRef>
      <a:fillRef idx="1">
        <a:scrgbClr r="0" g="0" b="0"/>
      </a:fillRef>
      <a:effectRef idx="2">
        <a:scrgbClr r="0" g="0" b="0"/>
      </a:effectRef>
      <a:fontRef idx="minor"/>
    </dgm:style>
  </dgm:styleLbl>
  <dgm:styleLbl name="solidAlignAcc1">
    <dgm:scene3d>
      <a:camera prst="orthographicFront"/>
      <a:lightRig rig="threePt" dir="t">
        <a:rot lat="0" lon="0" rev="7500000"/>
      </a:lightRig>
    </dgm:scene3d>
    <dgm:sp3d extrusionH="190500" prstMaterial="dkEdge">
      <a:bevelT w="120650" h="38100" prst="relaxedInset"/>
      <a:contourClr>
        <a:schemeClr val="bg1"/>
      </a:contourClr>
    </dgm:sp3d>
    <dgm:txPr/>
    <dgm:style>
      <a:lnRef idx="1">
        <a:scrgbClr r="0" g="0" b="0"/>
      </a:lnRef>
      <a:fillRef idx="1">
        <a:scrgbClr r="0" g="0" b="0"/>
      </a:fillRef>
      <a:effectRef idx="2">
        <a:scrgbClr r="0" g="0" b="0"/>
      </a:effectRef>
      <a:fontRef idx="minor"/>
    </dgm:style>
  </dgm:styleLbl>
  <dgm:styleLbl name="solidBgAcc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a:rot lat="0" lon="0" rev="7500000"/>
      </a:lightRig>
    </dgm:scene3d>
    <dgm:sp3d extrusionH="190500" prstMaterial="dkEdge">
      <a:bevelT w="120650" h="38100" prst="relaxedInset"/>
      <a:bevelB w="120650" h="57150" prst="relaxedInset"/>
      <a:contourClr>
        <a:schemeClr val="bg1"/>
      </a:contourClr>
    </dgm:sp3d>
    <dgm:txPr/>
    <dgm:style>
      <a:lnRef idx="1">
        <a:scrgbClr r="0" g="0" b="0"/>
      </a:lnRef>
      <a:fillRef idx="1">
        <a:scrgbClr r="0" g="0" b="0"/>
      </a:fillRef>
      <a:effectRef idx="2">
        <a:scrgbClr r="0" g="0" b="0"/>
      </a:effectRef>
      <a:fontRef idx="minor"/>
    </dgm:style>
  </dgm:styleLbl>
  <dgm:styleLbl name="bgAccFollowNode1">
    <dgm:scene3d>
      <a:camera prst="orthographicFront"/>
      <a:lightRig rig="threePt" dir="t">
        <a:rot lat="0" lon="0" rev="7500000"/>
      </a:lightRig>
    </dgm:scene3d>
    <dgm:sp3d z="-152400" extrusionH="63500" prstMaterial="dkEdge">
      <a:bevelT w="144450" h="36350" prst="relaxedInset"/>
      <a:contourClr>
        <a:schemeClr val="bg1"/>
      </a:contourClr>
    </dgm:sp3d>
    <dgm:txPr/>
    <dgm:style>
      <a:lnRef idx="1">
        <a:scrgbClr r="0" g="0" b="0"/>
      </a:lnRef>
      <a:fillRef idx="1">
        <a:scrgbClr r="0" g="0" b="0"/>
      </a:fillRef>
      <a:effectRef idx="2">
        <a:scrgbClr r="0" g="0" b="0"/>
      </a:effectRef>
      <a:fontRef idx="minor"/>
    </dgm:style>
  </dgm:styleLbl>
  <dgm:styleLbl name="fgAcc0">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2">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3">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fgAcc4">
    <dgm:scene3d>
      <a:camera prst="orthographicFront"/>
      <a:lightRig rig="threePt" dir="t">
        <a:rot lat="0" lon="0" rev="7500000"/>
      </a:lightRig>
    </dgm:scene3d>
    <dgm:sp3d z="152400" extrusionH="63500" prstMaterial="dkEdge">
      <a:bevelT w="125400" h="36350" prst="relaxedInset"/>
      <a:contourClr>
        <a:schemeClr val="bg1"/>
      </a:contourClr>
    </dgm:sp3d>
    <dgm:txPr/>
    <dgm:style>
      <a:lnRef idx="1">
        <a:scrgbClr r="0" g="0" b="0"/>
      </a:lnRef>
      <a:fillRef idx="1">
        <a:scrgbClr r="0" g="0" b="0"/>
      </a:fillRef>
      <a:effectRef idx="2">
        <a:scrgbClr r="0" g="0" b="0"/>
      </a:effectRef>
      <a:fontRef idx="minor"/>
    </dgm:style>
  </dgm:styleLbl>
  <dgm:styleLbl name="bgShp">
    <dgm:scene3d>
      <a:camera prst="orthographicFront"/>
      <a:lightRig rig="threePt" dir="t">
        <a:rot lat="0" lon="0" rev="7500000"/>
      </a:lightRig>
    </dgm:scene3d>
    <dgm:sp3d z="-152400" extrusionH="63500" prstMaterial="matte">
      <a:bevelT w="144450" h="6350" prst="relaxedInset"/>
      <a:contourClr>
        <a:schemeClr val="bg1"/>
      </a:contourClr>
    </dgm:sp3d>
    <dgm:txPr/>
    <dgm:style>
      <a:lnRef idx="0">
        <a:scrgbClr r="0" g="0" b="0"/>
      </a:lnRef>
      <a:fillRef idx="3">
        <a:scrgbClr r="0" g="0" b="0"/>
      </a:fillRef>
      <a:effectRef idx="0">
        <a:scrgbClr r="0" g="0" b="0"/>
      </a:effectRef>
      <a:fontRef idx="minor"/>
    </dgm:style>
  </dgm:styleLbl>
  <dgm:styleLbl name="dkBgShp">
    <dgm:scene3d>
      <a:camera prst="orthographicFront"/>
      <a:lightRig rig="threePt" dir="t">
        <a:rot lat="0" lon="0" rev="7500000"/>
      </a:lightRig>
    </dgm:scene3d>
    <dgm:sp3d prstMaterial="plastic">
      <a:bevelT w="127000" h="25400" prst="relaxedInset"/>
      <a:bevelB w="88900" h="121750" prst="angle"/>
    </dgm:sp3d>
    <dgm:txPr/>
    <dgm:style>
      <a:lnRef idx="0">
        <a:scrgbClr r="0" g="0" b="0"/>
      </a:lnRef>
      <a:fillRef idx="1">
        <a:scrgbClr r="0" g="0" b="0"/>
      </a:fillRef>
      <a:effectRef idx="2">
        <a:scrgbClr r="0" g="0" b="0"/>
      </a:effectRef>
      <a:fontRef idx="minor">
        <a:schemeClr val="lt1"/>
      </a:fontRef>
    </dgm:style>
  </dgm:styleLbl>
  <dgm:styleLbl name="trBgShp">
    <dgm:scene3d>
      <a:camera prst="orthographicFront"/>
      <a:lightRig rig="threePt" dir="t"/>
    </dgm:scene3d>
    <dgm:sp3d z="-152400" prstMaterial="matte"/>
    <dgm:txPr/>
    <dgm:style>
      <a:lnRef idx="0">
        <a:scrgbClr r="0" g="0" b="0"/>
      </a:lnRef>
      <a:fillRef idx="1">
        <a:scrgbClr r="0" g="0" b="0"/>
      </a:fillRef>
      <a:effectRef idx="0">
        <a:scrgbClr r="0" g="0" b="0"/>
      </a:effectRef>
      <a:fontRef idx="minor"/>
    </dgm:style>
  </dgm:styleLbl>
  <dgm:styleLbl name="fgShp">
    <dgm:scene3d>
      <a:camera prst="orthographicFront"/>
      <a:lightRig rig="threePt" dir="t">
        <a:rot lat="0" lon="0" rev="7500000"/>
      </a:lightRig>
    </dgm:scene3d>
    <dgm:sp3d z="152400" extrusionH="63500" prstMaterial="matte">
      <a:bevelT w="50800" h="19050" prst="relaxedInset"/>
      <a:contourClr>
        <a:schemeClr val="bg1"/>
      </a:contourClr>
    </dgm:sp3d>
    <dgm:txPr/>
    <dgm:style>
      <a:lnRef idx="0">
        <a:scrgbClr r="0" g="0" b="0"/>
      </a:lnRef>
      <a:fillRef idx="1">
        <a:scrgbClr r="0" g="0" b="0"/>
      </a:fillRef>
      <a:effectRef idx="2">
        <a:scrgbClr r="0" g="0" b="0"/>
      </a:effectRef>
      <a:fontRef idx="minor">
        <a:schemeClr val="lt1"/>
      </a:fontRef>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1.xml"/><Relationship Id="rId3" Type="http://schemas.openxmlformats.org/officeDocument/2006/relationships/chart" Target="../charts/chart1.xml"/><Relationship Id="rId7" Type="http://schemas.openxmlformats.org/officeDocument/2006/relationships/diagramLayout" Target="../diagrams/layout1.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diagramData" Target="../diagrams/data1.xml"/><Relationship Id="rId5" Type="http://schemas.openxmlformats.org/officeDocument/2006/relationships/chart" Target="../charts/chart3.xml"/><Relationship Id="rId10" Type="http://schemas.microsoft.com/office/2007/relationships/diagramDrawing" Target="../diagrams/drawing1.xml"/><Relationship Id="rId4" Type="http://schemas.openxmlformats.org/officeDocument/2006/relationships/chart" Target="../charts/chart2.xml"/><Relationship Id="rId9"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2</xdr:col>
      <xdr:colOff>15826</xdr:colOff>
      <xdr:row>0</xdr:row>
      <xdr:rowOff>67995</xdr:rowOff>
    </xdr:from>
    <xdr:to>
      <xdr:col>4</xdr:col>
      <xdr:colOff>511126</xdr:colOff>
      <xdr:row>3</xdr:row>
      <xdr:rowOff>151086</xdr:rowOff>
    </xdr:to>
    <xdr:pic>
      <xdr:nvPicPr>
        <xdr:cNvPr id="3" name="Picture 2">
          <a:extLst>
            <a:ext uri="{FF2B5EF4-FFF2-40B4-BE49-F238E27FC236}">
              <a16:creationId xmlns:a16="http://schemas.microsoft.com/office/drawing/2014/main" id="{EC7CCA20-83C9-7B3C-C219-77A307EF8E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46749" y="67995"/>
          <a:ext cx="1726223" cy="566668"/>
        </a:xfrm>
        <a:prstGeom prst="rect">
          <a:avLst/>
        </a:prstGeom>
      </xdr:spPr>
    </xdr:pic>
    <xdr:clientData/>
  </xdr:twoCellAnchor>
  <xdr:oneCellAnchor>
    <xdr:from>
      <xdr:col>4</xdr:col>
      <xdr:colOff>166434</xdr:colOff>
      <xdr:row>0</xdr:row>
      <xdr:rowOff>92392</xdr:rowOff>
    </xdr:from>
    <xdr:ext cx="3053417" cy="868680"/>
    <xdr:sp macro="" textlink="">
      <xdr:nvSpPr>
        <xdr:cNvPr id="4" name="Rectangle 3">
          <a:extLst>
            <a:ext uri="{FF2B5EF4-FFF2-40B4-BE49-F238E27FC236}">
              <a16:creationId xmlns:a16="http://schemas.microsoft.com/office/drawing/2014/main" id="{BF0B0CB4-1F88-DD18-4A16-A233E7BB683F}"/>
            </a:ext>
          </a:extLst>
        </xdr:cNvPr>
        <xdr:cNvSpPr/>
      </xdr:nvSpPr>
      <xdr:spPr>
        <a:xfrm>
          <a:off x="2595309" y="92392"/>
          <a:ext cx="3053417" cy="868680"/>
        </a:xfrm>
        <a:prstGeom prst="rect">
          <a:avLst/>
        </a:prstGeom>
        <a:noFill/>
      </xdr:spPr>
      <xdr:txBody>
        <a:bodyPr wrap="square" lIns="91440" tIns="45720" rIns="91440" bIns="45720">
          <a:noAutofit/>
        </a:bodyPr>
        <a:lstStyle/>
        <a:p>
          <a:pPr algn="ctr"/>
          <a:r>
            <a:rPr lang="en-US" sz="3600" b="0" cap="none" spc="0">
              <a:ln w="0"/>
              <a:solidFill>
                <a:schemeClr val="tx1"/>
              </a:solidFill>
              <a:effectLst>
                <a:outerShdw blurRad="38100" dist="19050" dir="2700000" algn="tl" rotWithShape="0">
                  <a:schemeClr val="dk1">
                    <a:alpha val="40000"/>
                  </a:schemeClr>
                </a:outerShdw>
              </a:effectLst>
            </a:rPr>
            <a:t>DashBoard</a:t>
          </a:r>
        </a:p>
        <a:p>
          <a:pPr algn="ctr"/>
          <a:endParaRPr lang="en-US" sz="36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editAs="oneCell">
    <xdr:from>
      <xdr:col>3</xdr:col>
      <xdr:colOff>0</xdr:colOff>
      <xdr:row>4</xdr:row>
      <xdr:rowOff>3304</xdr:rowOff>
    </xdr:from>
    <xdr:to>
      <xdr:col>15</xdr:col>
      <xdr:colOff>12955</xdr:colOff>
      <xdr:row>37</xdr:row>
      <xdr:rowOff>54981</xdr:rowOff>
    </xdr:to>
    <xdr:pic>
      <xdr:nvPicPr>
        <xdr:cNvPr id="6" name="Picture 5">
          <a:extLst>
            <a:ext uri="{FF2B5EF4-FFF2-40B4-BE49-F238E27FC236}">
              <a16:creationId xmlns:a16="http://schemas.microsoft.com/office/drawing/2014/main" id="{2F6BFF60-8E1A-2521-2508-312AF0151F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1656" y="670054"/>
          <a:ext cx="7299580" cy="5552365"/>
        </a:xfrm>
        <a:prstGeom prst="rect">
          <a:avLst/>
        </a:prstGeom>
        <a:solidFill>
          <a:schemeClr val="accent2"/>
        </a:solidFill>
      </xdr:spPr>
    </xdr:pic>
    <xdr:clientData/>
  </xdr:twoCellAnchor>
  <xdr:twoCellAnchor>
    <xdr:from>
      <xdr:col>14</xdr:col>
      <xdr:colOff>498230</xdr:colOff>
      <xdr:row>37</xdr:row>
      <xdr:rowOff>117231</xdr:rowOff>
    </xdr:from>
    <xdr:to>
      <xdr:col>25</xdr:col>
      <xdr:colOff>586154</xdr:colOff>
      <xdr:row>66</xdr:row>
      <xdr:rowOff>59765</xdr:rowOff>
    </xdr:to>
    <xdr:graphicFrame macro="">
      <xdr:nvGraphicFramePr>
        <xdr:cNvPr id="8" name="Chart 7">
          <a:extLst>
            <a:ext uri="{FF2B5EF4-FFF2-40B4-BE49-F238E27FC236}">
              <a16:creationId xmlns:a16="http://schemas.microsoft.com/office/drawing/2014/main" id="{7B9BF147-5242-411E-B52F-5B8BBEAD2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25758</xdr:colOff>
      <xdr:row>37</xdr:row>
      <xdr:rowOff>104588</xdr:rowOff>
    </xdr:from>
    <xdr:to>
      <xdr:col>14</xdr:col>
      <xdr:colOff>418989</xdr:colOff>
      <xdr:row>66</xdr:row>
      <xdr:rowOff>44824</xdr:rowOff>
    </xdr:to>
    <xdr:graphicFrame macro="">
      <xdr:nvGraphicFramePr>
        <xdr:cNvPr id="9" name="Chart 8">
          <a:extLst>
            <a:ext uri="{FF2B5EF4-FFF2-40B4-BE49-F238E27FC236}">
              <a16:creationId xmlns:a16="http://schemas.microsoft.com/office/drawing/2014/main" id="{5D9D7E36-AEAA-45D5-A442-8D25031E12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597649</xdr:colOff>
      <xdr:row>66</xdr:row>
      <xdr:rowOff>162126</xdr:rowOff>
    </xdr:from>
    <xdr:to>
      <xdr:col>25</xdr:col>
      <xdr:colOff>599873</xdr:colOff>
      <xdr:row>99</xdr:row>
      <xdr:rowOff>129701</xdr:rowOff>
    </xdr:to>
    <xdr:graphicFrame macro="">
      <xdr:nvGraphicFramePr>
        <xdr:cNvPr id="10" name="Chart 9">
          <a:extLst>
            <a:ext uri="{FF2B5EF4-FFF2-40B4-BE49-F238E27FC236}">
              <a16:creationId xmlns:a16="http://schemas.microsoft.com/office/drawing/2014/main" id="{5ADF2981-3BF2-4534-B529-135E80E7E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44</xdr:row>
      <xdr:rowOff>153415</xdr:rowOff>
    </xdr:from>
    <xdr:to>
      <xdr:col>2</xdr:col>
      <xdr:colOff>582079</xdr:colOff>
      <xdr:row>54</xdr:row>
      <xdr:rowOff>4761</xdr:rowOff>
    </xdr:to>
    <mc:AlternateContent xmlns:mc="http://schemas.openxmlformats.org/markup-compatibility/2006">
      <mc:Choice xmlns:a14="http://schemas.microsoft.com/office/drawing/2010/main" Requires="a14">
        <xdr:graphicFrame macro="">
          <xdr:nvGraphicFramePr>
            <xdr:cNvPr id="11" name="Region 1">
              <a:extLst>
                <a:ext uri="{FF2B5EF4-FFF2-40B4-BE49-F238E27FC236}">
                  <a16:creationId xmlns:a16="http://schemas.microsoft.com/office/drawing/2014/main" id="{A462CA16-84BC-483B-A876-B9F6A6B3C25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7816958"/>
              <a:ext cx="1801279" cy="159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20516</xdr:rowOff>
    </xdr:from>
    <xdr:to>
      <xdr:col>2</xdr:col>
      <xdr:colOff>591353</xdr:colOff>
      <xdr:row>39</xdr:row>
      <xdr:rowOff>114549</xdr:rowOff>
    </xdr:to>
    <mc:AlternateContent xmlns:mc="http://schemas.openxmlformats.org/markup-compatibility/2006">
      <mc:Choice xmlns:a14="http://schemas.microsoft.com/office/drawing/2010/main" Requires="a14">
        <xdr:graphicFrame macro="">
          <xdr:nvGraphicFramePr>
            <xdr:cNvPr id="12" name="Products 1">
              <a:extLst>
                <a:ext uri="{FF2B5EF4-FFF2-40B4-BE49-F238E27FC236}">
                  <a16:creationId xmlns:a16="http://schemas.microsoft.com/office/drawing/2014/main" id="{45AE08AC-0793-4919-AE96-8546EFAB0A9C}"/>
                </a:ext>
              </a:extLst>
            </xdr:cNvPr>
            <xdr:cNvGraphicFramePr/>
          </xdr:nvGraphicFramePr>
          <xdr:xfrm>
            <a:off x="0" y="0"/>
            <a:ext cx="0" cy="0"/>
          </xdr:xfrm>
          <a:graphic>
            <a:graphicData uri="http://schemas.microsoft.com/office/drawing/2010/slicer">
              <sle:slicer xmlns:sle="http://schemas.microsoft.com/office/drawing/2010/slicer" name="Products 1"/>
            </a:graphicData>
          </a:graphic>
        </xdr:graphicFrame>
      </mc:Choice>
      <mc:Fallback>
        <xdr:sp macro="" textlink="">
          <xdr:nvSpPr>
            <xdr:cNvPr id="0" name=""/>
            <xdr:cNvSpPr>
              <a:spLocks noTextEdit="1"/>
            </xdr:cNvSpPr>
          </xdr:nvSpPr>
          <xdr:spPr>
            <a:xfrm>
              <a:off x="0" y="5768173"/>
              <a:ext cx="1810553" cy="1139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30236</xdr:colOff>
      <xdr:row>4</xdr:row>
      <xdr:rowOff>24191</xdr:rowOff>
    </xdr:from>
    <xdr:to>
      <xdr:col>26</xdr:col>
      <xdr:colOff>21770</xdr:colOff>
      <xdr:row>22</xdr:row>
      <xdr:rowOff>12096</xdr:rowOff>
    </xdr:to>
    <xdr:graphicFrame macro="">
      <xdr:nvGraphicFramePr>
        <xdr:cNvPr id="16" name="Diagram 15">
          <a:extLst>
            <a:ext uri="{FF2B5EF4-FFF2-40B4-BE49-F238E27FC236}">
              <a16:creationId xmlns:a16="http://schemas.microsoft.com/office/drawing/2014/main" id="{EB83042E-6AD5-4974-FF79-FCD31CBFEFEB}"/>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editAs="oneCell">
    <xdr:from>
      <xdr:col>0</xdr:col>
      <xdr:colOff>0</xdr:colOff>
      <xdr:row>9</xdr:row>
      <xdr:rowOff>115186</xdr:rowOff>
    </xdr:from>
    <xdr:to>
      <xdr:col>3</xdr:col>
      <xdr:colOff>9943</xdr:colOff>
      <xdr:row>25</xdr:row>
      <xdr:rowOff>141767</xdr:rowOff>
    </xdr:to>
    <mc:AlternateContent xmlns:mc="http://schemas.openxmlformats.org/markup-compatibility/2006">
      <mc:Choice xmlns:a14="http://schemas.microsoft.com/office/drawing/2010/main" Requires="a14">
        <xdr:graphicFrame macro="">
          <xdr:nvGraphicFramePr>
            <xdr:cNvPr id="5" name="Products Model 2">
              <a:extLst>
                <a:ext uri="{FF2B5EF4-FFF2-40B4-BE49-F238E27FC236}">
                  <a16:creationId xmlns:a16="http://schemas.microsoft.com/office/drawing/2014/main" id="{687B4CED-DC2C-95BD-985A-B5D17D8331E8}"/>
                </a:ext>
              </a:extLst>
            </xdr:cNvPr>
            <xdr:cNvGraphicFramePr/>
          </xdr:nvGraphicFramePr>
          <xdr:xfrm>
            <a:off x="0" y="0"/>
            <a:ext cx="0" cy="0"/>
          </xdr:xfrm>
          <a:graphic>
            <a:graphicData uri="http://schemas.microsoft.com/office/drawing/2010/slicer">
              <sle:slicer xmlns:sle="http://schemas.microsoft.com/office/drawing/2010/slicer" name="Products Model 2"/>
            </a:graphicData>
          </a:graphic>
        </xdr:graphicFrame>
      </mc:Choice>
      <mc:Fallback>
        <xdr:sp macro="" textlink="">
          <xdr:nvSpPr>
            <xdr:cNvPr id="0" name=""/>
            <xdr:cNvSpPr>
              <a:spLocks noTextEdit="1"/>
            </xdr:cNvSpPr>
          </xdr:nvSpPr>
          <xdr:spPr>
            <a:xfrm>
              <a:off x="0" y="1682729"/>
              <a:ext cx="1838743" cy="2813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739140</xdr:colOff>
      <xdr:row>13</xdr:row>
      <xdr:rowOff>68580</xdr:rowOff>
    </xdr:from>
    <xdr:to>
      <xdr:col>8</xdr:col>
      <xdr:colOff>312420</xdr:colOff>
      <xdr:row>29</xdr:row>
      <xdr:rowOff>129540</xdr:rowOff>
    </xdr:to>
    <xdr:graphicFrame macro="">
      <xdr:nvGraphicFramePr>
        <xdr:cNvPr id="2" name="Chart 1">
          <a:extLst>
            <a:ext uri="{FF2B5EF4-FFF2-40B4-BE49-F238E27FC236}">
              <a16:creationId xmlns:a16="http://schemas.microsoft.com/office/drawing/2014/main" id="{B23B6CE0-03BD-4204-0CC9-377B5AC71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586740</xdr:colOff>
      <xdr:row>17</xdr:row>
      <xdr:rowOff>30481</xdr:rowOff>
    </xdr:from>
    <xdr:to>
      <xdr:col>13</xdr:col>
      <xdr:colOff>396240</xdr:colOff>
      <xdr:row>26</xdr:row>
      <xdr:rowOff>53341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7CAB267-A5A0-0C77-524D-E48D974672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71460" y="2880361"/>
              <a:ext cx="1828800" cy="1531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982980</xdr:colOff>
      <xdr:row>19</xdr:row>
      <xdr:rowOff>137160</xdr:rowOff>
    </xdr:from>
    <xdr:to>
      <xdr:col>9</xdr:col>
      <xdr:colOff>228600</xdr:colOff>
      <xdr:row>36</xdr:row>
      <xdr:rowOff>30480</xdr:rowOff>
    </xdr:to>
    <xdr:graphicFrame macro="">
      <xdr:nvGraphicFramePr>
        <xdr:cNvPr id="2" name="Chart 1">
          <a:extLst>
            <a:ext uri="{FF2B5EF4-FFF2-40B4-BE49-F238E27FC236}">
              <a16:creationId xmlns:a16="http://schemas.microsoft.com/office/drawing/2014/main" id="{6EA958D0-9F7F-93BF-30D6-E6987FB06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601980</xdr:colOff>
      <xdr:row>9</xdr:row>
      <xdr:rowOff>0</xdr:rowOff>
    </xdr:from>
    <xdr:to>
      <xdr:col>12</xdr:col>
      <xdr:colOff>601980</xdr:colOff>
      <xdr:row>15</xdr:row>
      <xdr:rowOff>60959</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D248942A-953E-690F-5444-ACEAC6F86FE6}"/>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8290560" y="1508760"/>
              <a:ext cx="1828800" cy="1066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512717</xdr:colOff>
      <xdr:row>10</xdr:row>
      <xdr:rowOff>120831</xdr:rowOff>
    </xdr:from>
    <xdr:to>
      <xdr:col>21</xdr:col>
      <xdr:colOff>428897</xdr:colOff>
      <xdr:row>34</xdr:row>
      <xdr:rowOff>158932</xdr:rowOff>
    </xdr:to>
    <xdr:graphicFrame macro="">
      <xdr:nvGraphicFramePr>
        <xdr:cNvPr id="2" name="Chart 1">
          <a:extLst>
            <a:ext uri="{FF2B5EF4-FFF2-40B4-BE49-F238E27FC236}">
              <a16:creationId xmlns:a16="http://schemas.microsoft.com/office/drawing/2014/main" id="{59EDDFF4-C5D8-B400-03F7-27D02DC92C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60960</xdr:colOff>
      <xdr:row>12</xdr:row>
      <xdr:rowOff>160020</xdr:rowOff>
    </xdr:from>
    <xdr:to>
      <xdr:col>8</xdr:col>
      <xdr:colOff>662940</xdr:colOff>
      <xdr:row>29</xdr:row>
      <xdr:rowOff>53340</xdr:rowOff>
    </xdr:to>
    <xdr:graphicFrame macro="">
      <xdr:nvGraphicFramePr>
        <xdr:cNvPr id="2" name="Chart 1">
          <a:extLst>
            <a:ext uri="{FF2B5EF4-FFF2-40B4-BE49-F238E27FC236}">
              <a16:creationId xmlns:a16="http://schemas.microsoft.com/office/drawing/2014/main" id="{1F5F56DF-04F1-A9A1-45D4-63FDA5BB9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14</xdr:row>
      <xdr:rowOff>7620</xdr:rowOff>
    </xdr:from>
    <xdr:to>
      <xdr:col>11</xdr:col>
      <xdr:colOff>381000</xdr:colOff>
      <xdr:row>29</xdr:row>
      <xdr:rowOff>30480</xdr:rowOff>
    </xdr:to>
    <mc:AlternateContent xmlns:mc="http://schemas.openxmlformats.org/markup-compatibility/2006" xmlns:a14="http://schemas.microsoft.com/office/drawing/2010/main">
      <mc:Choice Requires="a14">
        <xdr:graphicFrame macro="">
          <xdr:nvGraphicFramePr>
            <xdr:cNvPr id="3" name="Products Model">
              <a:extLst>
                <a:ext uri="{FF2B5EF4-FFF2-40B4-BE49-F238E27FC236}">
                  <a16:creationId xmlns:a16="http://schemas.microsoft.com/office/drawing/2014/main" id="{C88E8458-E841-354B-01E6-747EABE2BA92}"/>
                </a:ext>
              </a:extLst>
            </xdr:cNvPr>
            <xdr:cNvGraphicFramePr/>
          </xdr:nvGraphicFramePr>
          <xdr:xfrm>
            <a:off x="0" y="0"/>
            <a:ext cx="0" cy="0"/>
          </xdr:xfrm>
          <a:graphic>
            <a:graphicData uri="http://schemas.microsoft.com/office/drawing/2010/slicer">
              <sle:slicer xmlns:sle="http://schemas.microsoft.com/office/drawing/2010/slicer" name="Products Model"/>
            </a:graphicData>
          </a:graphic>
        </xdr:graphicFrame>
      </mc:Choice>
      <mc:Fallback xmlns="">
        <xdr:sp macro="" textlink="">
          <xdr:nvSpPr>
            <xdr:cNvPr id="0" name=""/>
            <xdr:cNvSpPr>
              <a:spLocks noTextEdit="1"/>
            </xdr:cNvSpPr>
          </xdr:nvSpPr>
          <xdr:spPr>
            <a:xfrm>
              <a:off x="7879080" y="2354580"/>
              <a:ext cx="1828800" cy="253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 trivedi" refreshedDate="46052.527751388887" createdVersion="8" refreshedVersion="8" minRefreshableVersion="3" recordCount="500" xr:uid="{5F213301-9E0B-478F-9F02-99756B4E0D79}">
  <cacheSource type="worksheet">
    <worksheetSource name="Table1"/>
  </cacheSource>
  <cacheFields count="9">
    <cacheField name="Sale_ID" numFmtId="0">
      <sharedItems containsSemiMixedTypes="0" containsString="0" containsNumber="1" containsInteger="1" minValue="1" maxValue="500"/>
    </cacheField>
    <cacheField name="Products" numFmtId="0">
      <sharedItems count="3">
        <s v="MacBook"/>
        <s v="iPhone"/>
        <s v="iPad"/>
      </sharedItems>
    </cacheField>
    <cacheField name="Products Model" numFmtId="0">
      <sharedItems count="9">
        <s v="MacBook Air"/>
        <s v="MacBook Pro 16"/>
        <s v="MacBook Pro 14"/>
        <s v="iPhone 13"/>
        <s v="iPhone 15"/>
        <s v="iPad Mini"/>
        <s v="iPad Air"/>
        <s v="iPhone 14"/>
        <s v="iPad Pro"/>
      </sharedItems>
    </cacheField>
    <cacheField name="Region" numFmtId="0">
      <sharedItems count="5">
        <s v="USA"/>
        <s v="Canada"/>
        <s v="UK"/>
        <s v="Australia"/>
        <s v="India"/>
      </sharedItems>
    </cacheField>
    <cacheField name="Units_Sold" numFmtId="0">
      <sharedItems containsSemiMixedTypes="0" containsString="0" containsNumber="1" containsInteger="1" minValue="1" maxValue="19" count="19">
        <n v="15"/>
        <n v="11"/>
        <n v="2"/>
        <n v="12"/>
        <n v="10"/>
        <n v="3"/>
        <n v="18"/>
        <n v="7"/>
        <n v="4"/>
        <n v="16"/>
        <n v="8"/>
        <n v="13"/>
        <n v="9"/>
        <n v="14"/>
        <n v="19"/>
        <n v="5"/>
        <n v="1"/>
        <n v="17"/>
        <n v="6"/>
      </sharedItems>
    </cacheField>
    <cacheField name="Unit_Price_INR" numFmtId="164">
      <sharedItems containsSemiMixedTypes="0" containsString="0" containsNumber="1" containsInteger="1" minValue="40481" maxValue="249818"/>
    </cacheField>
    <cacheField name="Revenue_INR" numFmtId="164">
      <sharedItems containsSemiMixedTypes="0" containsString="0" containsNumber="1" containsInteger="1" minValue="45052" maxValue="4614150" count="500">
        <n v="2173290"/>
        <n v="2379564"/>
        <n v="190622"/>
        <n v="957228"/>
        <n v="2138550"/>
        <n v="394818"/>
        <n v="1271286"/>
        <n v="699300"/>
        <n v="175772"/>
        <n v="822150"/>
        <n v="1106032"/>
        <n v="674208"/>
        <n v="1835782"/>
        <n v="437976"/>
        <n v="1029280"/>
        <n v="885528"/>
        <n v="829392"/>
        <n v="217446"/>
        <n v="1196244"/>
        <n v="1710285"/>
        <n v="501710"/>
        <n v="399112"/>
        <n v="727155"/>
        <n v="90080"/>
        <n v="300882"/>
        <n v="459840"/>
        <n v="1269045"/>
        <n v="447566"/>
        <n v="1507441"/>
        <n v="2027623"/>
        <n v="291880"/>
        <n v="373962"/>
        <n v="1274967"/>
        <n v="499016"/>
        <n v="190689"/>
        <n v="3167658"/>
        <n v="3160192"/>
        <n v="98191"/>
        <n v="946359"/>
        <n v="799821"/>
        <n v="1253760"/>
        <n v="771642"/>
        <n v="1202264"/>
        <n v="1032880"/>
        <n v="1115016"/>
        <n v="684000"/>
        <n v="3640091"/>
        <n v="435810"/>
        <n v="1473304"/>
        <n v="112479"/>
        <n v="275655"/>
        <n v="201458"/>
        <n v="642624"/>
        <n v="208776"/>
        <n v="169472"/>
        <n v="3480570"/>
        <n v="1745475"/>
        <n v="636064"/>
        <n v="456084"/>
        <n v="917909"/>
        <n v="241540"/>
        <n v="106175"/>
        <n v="63343"/>
        <n v="280203"/>
        <n v="972090"/>
        <n v="1850176"/>
        <n v="1873790"/>
        <n v="2507525"/>
        <n v="178336"/>
        <n v="45052"/>
        <n v="98304"/>
        <n v="1181928"/>
        <n v="552891"/>
        <n v="163152"/>
        <n v="924084"/>
        <n v="417700"/>
        <n v="1247280"/>
        <n v="1342718"/>
        <n v="1386435"/>
        <n v="4174146"/>
        <n v="1567076"/>
        <n v="1161010"/>
        <n v="1395072"/>
        <n v="542479"/>
        <n v="2124650"/>
        <n v="804672"/>
        <n v="1063170"/>
        <n v="658784"/>
        <n v="679560"/>
        <n v="1749425"/>
        <n v="1054215"/>
        <n v="584928"/>
        <n v="3286661"/>
        <n v="752400"/>
        <n v="679052"/>
        <n v="1164600"/>
        <n v="237261"/>
        <n v="488004"/>
        <n v="1212390"/>
        <n v="2469828"/>
        <n v="1226537"/>
        <n v="2222115"/>
        <n v="759065"/>
        <n v="750686"/>
        <n v="2156440"/>
        <n v="1644208"/>
        <n v="493785"/>
        <n v="922010"/>
        <n v="1191484"/>
        <n v="1407311"/>
        <n v="368148"/>
        <n v="1216176"/>
        <n v="1128810"/>
        <n v="1094434"/>
        <n v="864306"/>
        <n v="286826"/>
        <n v="1931960"/>
        <n v="599630"/>
        <n v="158074"/>
        <n v="3723344"/>
        <n v="280302"/>
        <n v="1595126"/>
        <n v="594864"/>
        <n v="991666"/>
        <n v="3605010"/>
        <n v="294272"/>
        <n v="1155330"/>
        <n v="189242"/>
        <n v="524151"/>
        <n v="3513348"/>
        <n v="455310"/>
        <n v="775584"/>
        <n v="229848"/>
        <n v="342528"/>
        <n v="1246023"/>
        <n v="3238248"/>
        <n v="369630"/>
        <n v="583362"/>
        <n v="499636"/>
        <n v="1754978"/>
        <n v="969683"/>
        <n v="345544"/>
        <n v="251502"/>
        <n v="240384"/>
        <n v="1143444"/>
        <n v="516680"/>
        <n v="1207629"/>
        <n v="649209"/>
        <n v="814656"/>
        <n v="319650"/>
        <n v="760760"/>
        <n v="81526"/>
        <n v="71246"/>
        <n v="3546274"/>
        <n v="681120"/>
        <n v="104028"/>
        <n v="867140"/>
        <n v="876152"/>
        <n v="1181325"/>
        <n v="4079566"/>
        <n v="1038790"/>
        <n v="604560"/>
        <n v="1293225"/>
        <n v="481008"/>
        <n v="2023821"/>
        <n v="3118038"/>
        <n v="93173"/>
        <n v="1163016"/>
        <n v="269064"/>
        <n v="2242538"/>
        <n v="769692"/>
        <n v="712327"/>
        <n v="454608"/>
        <n v="486448"/>
        <n v="1400661"/>
        <n v="1409136"/>
        <n v="699675"/>
        <n v="564468"/>
        <n v="761390"/>
        <n v="391894"/>
        <n v="965424"/>
        <n v="1298064"/>
        <n v="543760"/>
        <n v="1509732"/>
        <n v="1688057"/>
        <n v="2038248"/>
        <n v="412486"/>
        <n v="603747"/>
        <n v="590630"/>
        <n v="897736"/>
        <n v="586264"/>
        <n v="733954"/>
        <n v="469536"/>
        <n v="437250"/>
        <n v="265578"/>
        <n v="1128526"/>
        <n v="327496"/>
        <n v="404184"/>
        <n v="672795"/>
        <n v="1367753"/>
        <n v="526253"/>
        <n v="94008"/>
        <n v="315558"/>
        <n v="848844"/>
        <n v="2148936"/>
        <n v="3733216"/>
        <n v="312105"/>
        <n v="1117740"/>
        <n v="448060"/>
        <n v="733691"/>
        <n v="2548278"/>
        <n v="617760"/>
        <n v="269598"/>
        <n v="4018613"/>
        <n v="88687"/>
        <n v="121635"/>
        <n v="3054883"/>
        <n v="2126824"/>
        <n v="998370"/>
        <n v="1054850"/>
        <n v="488875"/>
        <n v="597260"/>
        <n v="128524"/>
        <n v="3175451"/>
        <n v="751617"/>
        <n v="910890"/>
        <n v="654250"/>
        <n v="741960"/>
        <n v="523205"/>
        <n v="1609209"/>
        <n v="1481430"/>
        <n v="1286648"/>
        <n v="215100"/>
        <n v="1251288"/>
        <n v="485157"/>
        <n v="118629"/>
        <n v="1249408"/>
        <n v="375204"/>
        <n v="1665122"/>
        <n v="1679013"/>
        <n v="602124"/>
        <n v="735728"/>
        <n v="2265883"/>
        <n v="999900"/>
        <n v="1670437"/>
        <n v="1148778"/>
        <n v="2565432"/>
        <n v="1006230"/>
        <n v="195718"/>
        <n v="443394"/>
        <n v="603302"/>
        <n v="1057044"/>
        <n v="1310316"/>
        <n v="479892"/>
        <n v="1036620"/>
        <n v="737460"/>
        <n v="551789"/>
        <n v="605136"/>
        <n v="577506"/>
        <n v="941904"/>
        <n v="1399914"/>
        <n v="111195"/>
        <n v="715491"/>
        <n v="659448"/>
        <n v="1018329"/>
        <n v="126796"/>
        <n v="98156"/>
        <n v="623496"/>
        <n v="1127970"/>
        <n v="183864"/>
        <n v="1014660"/>
        <n v="3046004"/>
        <n v="3711859"/>
        <n v="798930"/>
        <n v="3035100"/>
        <n v="343852"/>
        <n v="599067"/>
        <n v="198282"/>
        <n v="2598036"/>
        <n v="733053"/>
        <n v="133832"/>
        <n v="1391715"/>
        <n v="399696"/>
        <n v="81927"/>
        <n v="1487970"/>
        <n v="1271004"/>
        <n v="1161193"/>
        <n v="889620"/>
        <n v="3260790"/>
        <n v="242031"/>
        <n v="1597949"/>
        <n v="661375"/>
        <n v="998550"/>
        <n v="545597"/>
        <n v="244268"/>
        <n v="3549735"/>
        <n v="999072"/>
        <n v="2367876"/>
        <n v="195746"/>
        <n v="1070784"/>
        <n v="1310815"/>
        <n v="286566"/>
        <n v="2891707"/>
        <n v="87723"/>
        <n v="183680"/>
        <n v="563277"/>
        <n v="970784"/>
        <n v="676236"/>
        <n v="2728649"/>
        <n v="1641002"/>
        <n v="801400"/>
        <n v="2030739"/>
        <n v="1102005"/>
        <n v="167192"/>
        <n v="1034594"/>
        <n v="646110"/>
        <n v="45495"/>
        <n v="2996591"/>
        <n v="759255"/>
        <n v="574255"/>
        <n v="3916008"/>
        <n v="139104"/>
        <n v="1035951"/>
        <n v="173764"/>
        <n v="631640"/>
        <n v="730177"/>
        <n v="659771"/>
        <n v="822303"/>
        <n v="1712852"/>
        <n v="1310352"/>
        <n v="205599"/>
        <n v="1695665"/>
        <n v="331312"/>
        <n v="2183664"/>
        <n v="1797003"/>
        <n v="694206"/>
        <n v="239800"/>
        <n v="1632605"/>
        <n v="115114"/>
        <n v="389886"/>
        <n v="1103784"/>
        <n v="676290"/>
        <n v="963390"/>
        <n v="1416150"/>
        <n v="113411"/>
        <n v="1239882"/>
        <n v="1407172"/>
        <n v="400432"/>
        <n v="1234506"/>
        <n v="259844"/>
        <n v="2098630"/>
        <n v="1063269"/>
        <n v="579292"/>
        <n v="289644"/>
        <n v="350145"/>
        <n v="322405"/>
        <n v="495488"/>
        <n v="728676"/>
        <n v="341232"/>
        <n v="444892"/>
        <n v="719670"/>
        <n v="891360"/>
        <n v="1445058"/>
        <n v="282798"/>
        <n v="1561443"/>
        <n v="509955"/>
        <n v="2237269"/>
        <n v="838856"/>
        <n v="2926513"/>
        <n v="1074585"/>
        <n v="1022208"/>
        <n v="1283070"/>
        <n v="879489"/>
        <n v="183912"/>
        <n v="1112048"/>
        <n v="401247"/>
        <n v="940950"/>
        <n v="1099616"/>
        <n v="543501"/>
        <n v="744552"/>
        <n v="1247257"/>
        <n v="210536"/>
        <n v="1297290"/>
        <n v="957484"/>
        <n v="2274775"/>
        <n v="656605"/>
        <n v="230496"/>
        <n v="767350"/>
        <n v="1865115"/>
        <n v="1082268"/>
        <n v="1064261"/>
        <n v="278384"/>
        <n v="391780"/>
        <n v="1033872"/>
        <n v="636488"/>
        <n v="204020"/>
        <n v="1594518"/>
        <n v="741804"/>
        <n v="909312"/>
        <n v="1105867"/>
        <n v="941824"/>
        <n v="2610675"/>
        <n v="1892808"/>
        <n v="1923300"/>
        <n v="822692"/>
        <n v="911981"/>
        <n v="852790"/>
        <n v="644910"/>
        <n v="665434"/>
        <n v="1169772"/>
        <n v="3232670"/>
        <n v="1221600"/>
        <n v="614812"/>
        <n v="639506"/>
        <n v="2014870"/>
        <n v="1588104"/>
        <n v="2166432"/>
        <n v="252068"/>
        <n v="132342"/>
        <n v="2391373"/>
        <n v="389605"/>
        <n v="843552"/>
        <n v="1901580"/>
        <n v="383096"/>
        <n v="1646736"/>
        <n v="124526"/>
        <n v="243759"/>
        <n v="2459853"/>
        <n v="188956"/>
        <n v="3648688"/>
        <n v="325710"/>
        <n v="2194192"/>
        <n v="747040"/>
        <n v="693966"/>
        <n v="1949632"/>
        <n v="1514253"/>
        <n v="584095"/>
        <n v="275180"/>
        <n v="337794"/>
        <n v="706656"/>
        <n v="1189980"/>
        <n v="99042"/>
        <n v="1335135"/>
        <n v="4065210"/>
        <n v="3704944"/>
        <n v="712770"/>
        <n v="533880"/>
        <n v="3430336"/>
        <n v="3250320"/>
        <n v="447338"/>
        <n v="320214"/>
        <n v="667064"/>
        <n v="4614150"/>
        <n v="941220"/>
        <n v="4285735"/>
        <n v="1077399"/>
        <n v="984412"/>
        <n v="654858"/>
        <n v="1292900"/>
        <n v="1594544"/>
        <n v="368075"/>
        <n v="719100"/>
        <n v="106087"/>
        <n v="1242840"/>
        <n v="598944"/>
        <n v="312920"/>
        <n v="1290828"/>
        <n v="130197"/>
        <n v="980268"/>
        <n v="903994"/>
        <n v="1055340"/>
        <n v="70502"/>
        <n v="654820"/>
        <n v="1591591"/>
        <n v="1009863"/>
        <n v="1094698"/>
        <n v="1267668"/>
        <n v="441400"/>
        <n v="1927409"/>
        <n v="56977"/>
        <n v="1252908"/>
        <n v="2080170"/>
        <n v="924858"/>
        <n v="1362618"/>
        <n v="1339416"/>
        <n v="1178814"/>
        <n v="829686"/>
        <n v="277185"/>
        <n v="1326152"/>
        <n v="321536"/>
        <n v="397328"/>
        <n v="920110"/>
        <n v="2528229"/>
        <n v="88515"/>
        <n v="133956"/>
        <n v="4008164"/>
        <n v="292780"/>
        <n v="542418"/>
        <n v="1124595"/>
        <n v="561168"/>
      </sharedItems>
    </cacheField>
    <cacheField name="Conditional Revenue" numFmtId="0">
      <sharedItems/>
    </cacheField>
    <cacheField name="Product Category" numFmtId="0">
      <sharedItems/>
    </cacheField>
  </cacheFields>
  <extLst>
    <ext xmlns:x14="http://schemas.microsoft.com/office/spreadsheetml/2009/9/main" uri="{725AE2AE-9491-48be-B2B4-4EB974FC3084}">
      <x14:pivotCacheDefinition pivotCacheId="1154507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n v="144886"/>
    <x v="0"/>
    <s v="High"/>
    <s v="Laptop"/>
  </r>
  <r>
    <n v="2"/>
    <x v="0"/>
    <x v="1"/>
    <x v="1"/>
    <x v="1"/>
    <n v="216324"/>
    <x v="1"/>
    <s v="High"/>
    <s v="Laptop"/>
  </r>
  <r>
    <n v="3"/>
    <x v="0"/>
    <x v="2"/>
    <x v="1"/>
    <x v="2"/>
    <n v="95311"/>
    <x v="2"/>
    <s v="Low"/>
    <s v="Laptop"/>
  </r>
  <r>
    <n v="4"/>
    <x v="1"/>
    <x v="3"/>
    <x v="2"/>
    <x v="3"/>
    <n v="79769"/>
    <x v="3"/>
    <s v="Low"/>
    <s v="Phone"/>
  </r>
  <r>
    <n v="5"/>
    <x v="0"/>
    <x v="1"/>
    <x v="2"/>
    <x v="4"/>
    <n v="213855"/>
    <x v="4"/>
    <s v="High"/>
    <s v="Laptop"/>
  </r>
  <r>
    <n v="6"/>
    <x v="0"/>
    <x v="0"/>
    <x v="3"/>
    <x v="5"/>
    <n v="131606"/>
    <x v="5"/>
    <s v="Low"/>
    <s v="Laptop"/>
  </r>
  <r>
    <n v="7"/>
    <x v="1"/>
    <x v="4"/>
    <x v="3"/>
    <x v="6"/>
    <n v="70627"/>
    <x v="6"/>
    <s v="High"/>
    <s v="Phone"/>
  </r>
  <r>
    <n v="8"/>
    <x v="2"/>
    <x v="5"/>
    <x v="2"/>
    <x v="7"/>
    <n v="99900"/>
    <x v="7"/>
    <s v="Low"/>
    <s v="Tablet"/>
  </r>
  <r>
    <n v="9"/>
    <x v="2"/>
    <x v="6"/>
    <x v="0"/>
    <x v="8"/>
    <n v="43943"/>
    <x v="8"/>
    <s v="Low"/>
    <s v="Tablet"/>
  </r>
  <r>
    <n v="10"/>
    <x v="2"/>
    <x v="6"/>
    <x v="1"/>
    <x v="6"/>
    <n v="45675"/>
    <x v="9"/>
    <s v="Low"/>
    <s v="Tablet"/>
  </r>
  <r>
    <n v="11"/>
    <x v="2"/>
    <x v="5"/>
    <x v="1"/>
    <x v="9"/>
    <n v="69127"/>
    <x v="10"/>
    <s v="High"/>
    <s v="Tablet"/>
  </r>
  <r>
    <n v="12"/>
    <x v="1"/>
    <x v="7"/>
    <x v="0"/>
    <x v="10"/>
    <n v="84276"/>
    <x v="11"/>
    <s v="Low"/>
    <s v="Phone"/>
  </r>
  <r>
    <n v="13"/>
    <x v="0"/>
    <x v="0"/>
    <x v="3"/>
    <x v="11"/>
    <n v="141214"/>
    <x v="12"/>
    <s v="High"/>
    <s v="Laptop"/>
  </r>
  <r>
    <n v="14"/>
    <x v="1"/>
    <x v="3"/>
    <x v="2"/>
    <x v="7"/>
    <n v="62568"/>
    <x v="13"/>
    <s v="Low"/>
    <s v="Phone"/>
  </r>
  <r>
    <n v="15"/>
    <x v="0"/>
    <x v="0"/>
    <x v="0"/>
    <x v="10"/>
    <n v="128660"/>
    <x v="14"/>
    <s v="High"/>
    <s v="Laptop"/>
  </r>
  <r>
    <n v="16"/>
    <x v="0"/>
    <x v="2"/>
    <x v="1"/>
    <x v="12"/>
    <n v="98392"/>
    <x v="15"/>
    <s v="Low"/>
    <s v="Laptop"/>
  </r>
  <r>
    <n v="17"/>
    <x v="2"/>
    <x v="6"/>
    <x v="2"/>
    <x v="9"/>
    <n v="51837"/>
    <x v="16"/>
    <s v="Low"/>
    <s v="Tablet"/>
  </r>
  <r>
    <n v="18"/>
    <x v="2"/>
    <x v="5"/>
    <x v="2"/>
    <x v="5"/>
    <n v="72482"/>
    <x v="17"/>
    <s v="Low"/>
    <s v="Tablet"/>
  </r>
  <r>
    <n v="19"/>
    <x v="1"/>
    <x v="3"/>
    <x v="0"/>
    <x v="13"/>
    <n v="85446"/>
    <x v="18"/>
    <s v="High"/>
    <s v="Phone"/>
  </r>
  <r>
    <n v="20"/>
    <x v="2"/>
    <x v="6"/>
    <x v="1"/>
    <x v="14"/>
    <n v="90015"/>
    <x v="19"/>
    <s v="High"/>
    <s v="Tablet"/>
  </r>
  <r>
    <n v="21"/>
    <x v="1"/>
    <x v="7"/>
    <x v="2"/>
    <x v="15"/>
    <n v="100342"/>
    <x v="20"/>
    <s v="Low"/>
    <s v="Phone"/>
  </r>
  <r>
    <n v="22"/>
    <x v="0"/>
    <x v="2"/>
    <x v="1"/>
    <x v="2"/>
    <n v="199556"/>
    <x v="21"/>
    <s v="Low"/>
    <s v="Laptop"/>
  </r>
  <r>
    <n v="23"/>
    <x v="2"/>
    <x v="8"/>
    <x v="1"/>
    <x v="1"/>
    <n v="66105"/>
    <x v="22"/>
    <s v="Low"/>
    <s v="Tablet"/>
  </r>
  <r>
    <n v="24"/>
    <x v="1"/>
    <x v="4"/>
    <x v="1"/>
    <x v="16"/>
    <n v="90080"/>
    <x v="23"/>
    <s v="Low"/>
    <s v="Phone"/>
  </r>
  <r>
    <n v="25"/>
    <x v="1"/>
    <x v="3"/>
    <x v="2"/>
    <x v="5"/>
    <n v="100294"/>
    <x v="24"/>
    <s v="Low"/>
    <s v="Phone"/>
  </r>
  <r>
    <n v="26"/>
    <x v="1"/>
    <x v="7"/>
    <x v="1"/>
    <x v="15"/>
    <n v="91968"/>
    <x v="25"/>
    <s v="Low"/>
    <s v="Phone"/>
  </r>
  <r>
    <n v="27"/>
    <x v="0"/>
    <x v="1"/>
    <x v="4"/>
    <x v="12"/>
    <n v="141005"/>
    <x v="26"/>
    <s v="High"/>
    <s v="Laptop"/>
  </r>
  <r>
    <n v="28"/>
    <x v="2"/>
    <x v="8"/>
    <x v="3"/>
    <x v="7"/>
    <n v="63938"/>
    <x v="27"/>
    <s v="Low"/>
    <s v="Tablet"/>
  </r>
  <r>
    <n v="29"/>
    <x v="1"/>
    <x v="3"/>
    <x v="3"/>
    <x v="17"/>
    <n v="88673"/>
    <x v="28"/>
    <s v="High"/>
    <s v="Phone"/>
  </r>
  <r>
    <n v="30"/>
    <x v="1"/>
    <x v="3"/>
    <x v="0"/>
    <x v="14"/>
    <n v="106717"/>
    <x v="29"/>
    <s v="High"/>
    <s v="Phone"/>
  </r>
  <r>
    <n v="31"/>
    <x v="2"/>
    <x v="5"/>
    <x v="2"/>
    <x v="8"/>
    <n v="72970"/>
    <x v="30"/>
    <s v="Low"/>
    <s v="Tablet"/>
  </r>
  <r>
    <n v="32"/>
    <x v="1"/>
    <x v="4"/>
    <x v="2"/>
    <x v="18"/>
    <n v="62327"/>
    <x v="31"/>
    <s v="Low"/>
    <s v="Phone"/>
  </r>
  <r>
    <n v="33"/>
    <x v="0"/>
    <x v="0"/>
    <x v="3"/>
    <x v="12"/>
    <n v="141663"/>
    <x v="32"/>
    <s v="High"/>
    <s v="Laptop"/>
  </r>
  <r>
    <n v="34"/>
    <x v="0"/>
    <x v="1"/>
    <x v="2"/>
    <x v="8"/>
    <n v="124754"/>
    <x v="33"/>
    <s v="Low"/>
    <s v="Laptop"/>
  </r>
  <r>
    <n v="35"/>
    <x v="0"/>
    <x v="0"/>
    <x v="4"/>
    <x v="16"/>
    <n v="190689"/>
    <x v="34"/>
    <s v="Low"/>
    <s v="Laptop"/>
  </r>
  <r>
    <n v="36"/>
    <x v="0"/>
    <x v="0"/>
    <x v="0"/>
    <x v="6"/>
    <n v="175981"/>
    <x v="35"/>
    <s v="High"/>
    <s v="Laptop"/>
  </r>
  <r>
    <n v="37"/>
    <x v="0"/>
    <x v="1"/>
    <x v="1"/>
    <x v="9"/>
    <n v="197512"/>
    <x v="36"/>
    <s v="High"/>
    <s v="Laptop"/>
  </r>
  <r>
    <n v="38"/>
    <x v="1"/>
    <x v="7"/>
    <x v="3"/>
    <x v="16"/>
    <n v="98191"/>
    <x v="37"/>
    <s v="Low"/>
    <s v="Phone"/>
  </r>
  <r>
    <n v="39"/>
    <x v="0"/>
    <x v="1"/>
    <x v="2"/>
    <x v="12"/>
    <n v="105151"/>
    <x v="38"/>
    <s v="Low"/>
    <s v="Laptop"/>
  </r>
  <r>
    <n v="40"/>
    <x v="2"/>
    <x v="6"/>
    <x v="1"/>
    <x v="1"/>
    <n v="72711"/>
    <x v="39"/>
    <s v="Low"/>
    <s v="Tablet"/>
  </r>
  <r>
    <n v="41"/>
    <x v="2"/>
    <x v="5"/>
    <x v="3"/>
    <x v="9"/>
    <n v="78360"/>
    <x v="40"/>
    <s v="High"/>
    <s v="Tablet"/>
  </r>
  <r>
    <n v="42"/>
    <x v="2"/>
    <x v="8"/>
    <x v="4"/>
    <x v="6"/>
    <n v="42869"/>
    <x v="41"/>
    <s v="Low"/>
    <s v="Tablet"/>
  </r>
  <r>
    <n v="43"/>
    <x v="1"/>
    <x v="3"/>
    <x v="2"/>
    <x v="13"/>
    <n v="85876"/>
    <x v="42"/>
    <s v="High"/>
    <s v="Phone"/>
  </r>
  <r>
    <n v="44"/>
    <x v="1"/>
    <x v="3"/>
    <x v="3"/>
    <x v="9"/>
    <n v="64555"/>
    <x v="43"/>
    <s v="High"/>
    <s v="Phone"/>
  </r>
  <r>
    <n v="45"/>
    <x v="0"/>
    <x v="2"/>
    <x v="3"/>
    <x v="10"/>
    <n v="139377"/>
    <x v="44"/>
    <s v="High"/>
    <s v="Laptop"/>
  </r>
  <r>
    <n v="46"/>
    <x v="2"/>
    <x v="6"/>
    <x v="3"/>
    <x v="0"/>
    <n v="45600"/>
    <x v="45"/>
    <s v="Low"/>
    <s v="Tablet"/>
  </r>
  <r>
    <n v="47"/>
    <x v="0"/>
    <x v="1"/>
    <x v="3"/>
    <x v="17"/>
    <n v="214123"/>
    <x v="46"/>
    <s v="High"/>
    <s v="Laptop"/>
  </r>
  <r>
    <n v="48"/>
    <x v="2"/>
    <x v="6"/>
    <x v="3"/>
    <x v="18"/>
    <n v="72635"/>
    <x v="47"/>
    <s v="Low"/>
    <s v="Tablet"/>
  </r>
  <r>
    <n v="49"/>
    <x v="1"/>
    <x v="3"/>
    <x v="3"/>
    <x v="13"/>
    <n v="105236"/>
    <x v="48"/>
    <s v="High"/>
    <s v="Phone"/>
  </r>
  <r>
    <n v="50"/>
    <x v="1"/>
    <x v="4"/>
    <x v="4"/>
    <x v="16"/>
    <n v="112479"/>
    <x v="49"/>
    <s v="Low"/>
    <s v="Phone"/>
  </r>
  <r>
    <n v="51"/>
    <x v="2"/>
    <x v="5"/>
    <x v="0"/>
    <x v="5"/>
    <n v="91885"/>
    <x v="50"/>
    <s v="Low"/>
    <s v="Tablet"/>
  </r>
  <r>
    <n v="52"/>
    <x v="0"/>
    <x v="2"/>
    <x v="0"/>
    <x v="2"/>
    <n v="100729"/>
    <x v="51"/>
    <s v="Low"/>
    <s v="Laptop"/>
  </r>
  <r>
    <n v="53"/>
    <x v="2"/>
    <x v="6"/>
    <x v="3"/>
    <x v="10"/>
    <n v="80328"/>
    <x v="52"/>
    <s v="Low"/>
    <s v="Tablet"/>
  </r>
  <r>
    <n v="54"/>
    <x v="2"/>
    <x v="5"/>
    <x v="3"/>
    <x v="5"/>
    <n v="69592"/>
    <x v="53"/>
    <s v="Low"/>
    <s v="Tablet"/>
  </r>
  <r>
    <n v="55"/>
    <x v="2"/>
    <x v="5"/>
    <x v="1"/>
    <x v="8"/>
    <n v="42368"/>
    <x v="54"/>
    <s v="Low"/>
    <s v="Tablet"/>
  </r>
  <r>
    <n v="56"/>
    <x v="0"/>
    <x v="1"/>
    <x v="2"/>
    <x v="0"/>
    <n v="232038"/>
    <x v="55"/>
    <s v="High"/>
    <s v="Laptop"/>
  </r>
  <r>
    <n v="57"/>
    <x v="1"/>
    <x v="7"/>
    <x v="2"/>
    <x v="17"/>
    <n v="102675"/>
    <x v="56"/>
    <s v="High"/>
    <s v="Phone"/>
  </r>
  <r>
    <n v="58"/>
    <x v="1"/>
    <x v="3"/>
    <x v="1"/>
    <x v="10"/>
    <n v="79508"/>
    <x v="57"/>
    <s v="Low"/>
    <s v="Phone"/>
  </r>
  <r>
    <n v="59"/>
    <x v="1"/>
    <x v="4"/>
    <x v="3"/>
    <x v="8"/>
    <n v="114021"/>
    <x v="58"/>
    <s v="Low"/>
    <s v="Phone"/>
  </r>
  <r>
    <n v="60"/>
    <x v="2"/>
    <x v="8"/>
    <x v="2"/>
    <x v="14"/>
    <n v="48311"/>
    <x v="59"/>
    <s v="Low"/>
    <s v="Tablet"/>
  </r>
  <r>
    <n v="61"/>
    <x v="2"/>
    <x v="5"/>
    <x v="4"/>
    <x v="15"/>
    <n v="48308"/>
    <x v="60"/>
    <s v="Low"/>
    <s v="Tablet"/>
  </r>
  <r>
    <n v="62"/>
    <x v="1"/>
    <x v="3"/>
    <x v="4"/>
    <x v="16"/>
    <n v="106175"/>
    <x v="61"/>
    <s v="Low"/>
    <s v="Phone"/>
  </r>
  <r>
    <n v="63"/>
    <x v="1"/>
    <x v="3"/>
    <x v="3"/>
    <x v="16"/>
    <n v="63343"/>
    <x v="62"/>
    <s v="Low"/>
    <s v="Phone"/>
  </r>
  <r>
    <n v="64"/>
    <x v="2"/>
    <x v="6"/>
    <x v="2"/>
    <x v="5"/>
    <n v="93401"/>
    <x v="63"/>
    <s v="Low"/>
    <s v="Tablet"/>
  </r>
  <r>
    <n v="65"/>
    <x v="1"/>
    <x v="7"/>
    <x v="1"/>
    <x v="13"/>
    <n v="69435"/>
    <x v="64"/>
    <s v="Low"/>
    <s v="Phone"/>
  </r>
  <r>
    <n v="66"/>
    <x v="1"/>
    <x v="7"/>
    <x v="3"/>
    <x v="9"/>
    <n v="115636"/>
    <x v="65"/>
    <s v="High"/>
    <s v="Phone"/>
  </r>
  <r>
    <n v="67"/>
    <x v="0"/>
    <x v="2"/>
    <x v="0"/>
    <x v="4"/>
    <n v="187379"/>
    <x v="66"/>
    <s v="High"/>
    <s v="Laptop"/>
  </r>
  <r>
    <n v="68"/>
    <x v="0"/>
    <x v="2"/>
    <x v="3"/>
    <x v="14"/>
    <n v="131975"/>
    <x v="67"/>
    <s v="High"/>
    <s v="Laptop"/>
  </r>
  <r>
    <n v="69"/>
    <x v="1"/>
    <x v="4"/>
    <x v="2"/>
    <x v="2"/>
    <n v="89168"/>
    <x v="68"/>
    <s v="Low"/>
    <s v="Phone"/>
  </r>
  <r>
    <n v="70"/>
    <x v="2"/>
    <x v="5"/>
    <x v="2"/>
    <x v="16"/>
    <n v="45052"/>
    <x v="69"/>
    <s v="Low"/>
    <s v="Tablet"/>
  </r>
  <r>
    <n v="71"/>
    <x v="1"/>
    <x v="4"/>
    <x v="2"/>
    <x v="16"/>
    <n v="98304"/>
    <x v="70"/>
    <s v="Low"/>
    <s v="Phone"/>
  </r>
  <r>
    <n v="72"/>
    <x v="1"/>
    <x v="3"/>
    <x v="3"/>
    <x v="3"/>
    <n v="98494"/>
    <x v="71"/>
    <s v="High"/>
    <s v="Phone"/>
  </r>
  <r>
    <n v="73"/>
    <x v="0"/>
    <x v="2"/>
    <x v="3"/>
    <x v="5"/>
    <n v="184297"/>
    <x v="72"/>
    <s v="Low"/>
    <s v="Laptop"/>
  </r>
  <r>
    <n v="74"/>
    <x v="2"/>
    <x v="8"/>
    <x v="1"/>
    <x v="2"/>
    <n v="81576"/>
    <x v="73"/>
    <s v="Low"/>
    <s v="Tablet"/>
  </r>
  <r>
    <n v="75"/>
    <x v="2"/>
    <x v="6"/>
    <x v="1"/>
    <x v="6"/>
    <n v="51338"/>
    <x v="74"/>
    <s v="Low"/>
    <s v="Tablet"/>
  </r>
  <r>
    <n v="76"/>
    <x v="1"/>
    <x v="3"/>
    <x v="2"/>
    <x v="8"/>
    <n v="104425"/>
    <x v="75"/>
    <s v="Low"/>
    <s v="Phone"/>
  </r>
  <r>
    <n v="77"/>
    <x v="1"/>
    <x v="4"/>
    <x v="3"/>
    <x v="9"/>
    <n v="77955"/>
    <x v="76"/>
    <s v="High"/>
    <s v="Phone"/>
  </r>
  <r>
    <n v="78"/>
    <x v="1"/>
    <x v="4"/>
    <x v="4"/>
    <x v="11"/>
    <n v="103286"/>
    <x v="77"/>
    <s v="High"/>
    <s v="Phone"/>
  </r>
  <r>
    <n v="79"/>
    <x v="2"/>
    <x v="6"/>
    <x v="3"/>
    <x v="17"/>
    <n v="81555"/>
    <x v="78"/>
    <s v="High"/>
    <s v="Tablet"/>
  </r>
  <r>
    <n v="80"/>
    <x v="0"/>
    <x v="1"/>
    <x v="1"/>
    <x v="17"/>
    <n v="245538"/>
    <x v="79"/>
    <s v="High"/>
    <s v="Laptop"/>
  </r>
  <r>
    <n v="81"/>
    <x v="1"/>
    <x v="4"/>
    <x v="0"/>
    <x v="13"/>
    <n v="111934"/>
    <x v="80"/>
    <s v="High"/>
    <s v="Phone"/>
  </r>
  <r>
    <n v="82"/>
    <x v="0"/>
    <x v="0"/>
    <x v="3"/>
    <x v="15"/>
    <n v="232202"/>
    <x v="81"/>
    <s v="High"/>
    <s v="Laptop"/>
  </r>
  <r>
    <n v="83"/>
    <x v="1"/>
    <x v="4"/>
    <x v="3"/>
    <x v="9"/>
    <n v="87192"/>
    <x v="82"/>
    <s v="High"/>
    <s v="Phone"/>
  </r>
  <r>
    <n v="84"/>
    <x v="2"/>
    <x v="8"/>
    <x v="2"/>
    <x v="7"/>
    <n v="77497"/>
    <x v="83"/>
    <s v="Low"/>
    <s v="Tablet"/>
  </r>
  <r>
    <n v="85"/>
    <x v="0"/>
    <x v="0"/>
    <x v="1"/>
    <x v="1"/>
    <n v="193150"/>
    <x v="84"/>
    <s v="High"/>
    <s v="Laptop"/>
  </r>
  <r>
    <n v="86"/>
    <x v="1"/>
    <x v="7"/>
    <x v="3"/>
    <x v="3"/>
    <n v="67056"/>
    <x v="85"/>
    <s v="Low"/>
    <s v="Phone"/>
  </r>
  <r>
    <n v="87"/>
    <x v="2"/>
    <x v="6"/>
    <x v="3"/>
    <x v="6"/>
    <n v="59065"/>
    <x v="86"/>
    <s v="High"/>
    <s v="Tablet"/>
  </r>
  <r>
    <n v="88"/>
    <x v="2"/>
    <x v="5"/>
    <x v="1"/>
    <x v="10"/>
    <n v="82348"/>
    <x v="87"/>
    <s v="Low"/>
    <s v="Tablet"/>
  </r>
  <r>
    <n v="89"/>
    <x v="1"/>
    <x v="4"/>
    <x v="1"/>
    <x v="7"/>
    <n v="97080"/>
    <x v="88"/>
    <s v="Low"/>
    <s v="Phone"/>
  </r>
  <r>
    <n v="90"/>
    <x v="2"/>
    <x v="5"/>
    <x v="2"/>
    <x v="14"/>
    <n v="92075"/>
    <x v="89"/>
    <s v="High"/>
    <s v="Tablet"/>
  </r>
  <r>
    <n v="91"/>
    <x v="2"/>
    <x v="8"/>
    <x v="3"/>
    <x v="14"/>
    <n v="55485"/>
    <x v="90"/>
    <s v="High"/>
    <s v="Tablet"/>
  </r>
  <r>
    <n v="92"/>
    <x v="1"/>
    <x v="7"/>
    <x v="4"/>
    <x v="10"/>
    <n v="73116"/>
    <x v="91"/>
    <s v="Low"/>
    <s v="Phone"/>
  </r>
  <r>
    <n v="93"/>
    <x v="0"/>
    <x v="0"/>
    <x v="3"/>
    <x v="17"/>
    <n v="193333"/>
    <x v="92"/>
    <s v="High"/>
    <s v="Laptop"/>
  </r>
  <r>
    <n v="94"/>
    <x v="2"/>
    <x v="8"/>
    <x v="3"/>
    <x v="3"/>
    <n v="62700"/>
    <x v="93"/>
    <s v="Low"/>
    <s v="Tablet"/>
  </r>
  <r>
    <n v="95"/>
    <x v="2"/>
    <x v="6"/>
    <x v="2"/>
    <x v="1"/>
    <n v="61732"/>
    <x v="94"/>
    <s v="Low"/>
    <s v="Tablet"/>
  </r>
  <r>
    <n v="96"/>
    <x v="1"/>
    <x v="7"/>
    <x v="4"/>
    <x v="0"/>
    <n v="77640"/>
    <x v="95"/>
    <s v="High"/>
    <s v="Phone"/>
  </r>
  <r>
    <n v="97"/>
    <x v="1"/>
    <x v="7"/>
    <x v="2"/>
    <x v="5"/>
    <n v="79087"/>
    <x v="96"/>
    <s v="Low"/>
    <s v="Phone"/>
  </r>
  <r>
    <n v="98"/>
    <x v="2"/>
    <x v="8"/>
    <x v="0"/>
    <x v="3"/>
    <n v="40667"/>
    <x v="97"/>
    <s v="Low"/>
    <s v="Tablet"/>
  </r>
  <r>
    <n v="99"/>
    <x v="2"/>
    <x v="8"/>
    <x v="1"/>
    <x v="6"/>
    <n v="67355"/>
    <x v="98"/>
    <s v="High"/>
    <s v="Tablet"/>
  </r>
  <r>
    <n v="100"/>
    <x v="0"/>
    <x v="2"/>
    <x v="1"/>
    <x v="17"/>
    <n v="145284"/>
    <x v="99"/>
    <s v="High"/>
    <s v="Laptop"/>
  </r>
  <r>
    <n v="101"/>
    <x v="1"/>
    <x v="3"/>
    <x v="0"/>
    <x v="11"/>
    <n v="94349"/>
    <x v="100"/>
    <s v="High"/>
    <s v="Phone"/>
  </r>
  <r>
    <n v="102"/>
    <x v="0"/>
    <x v="0"/>
    <x v="0"/>
    <x v="0"/>
    <n v="148141"/>
    <x v="101"/>
    <s v="High"/>
    <s v="Laptop"/>
  </r>
  <r>
    <n v="103"/>
    <x v="0"/>
    <x v="0"/>
    <x v="4"/>
    <x v="15"/>
    <n v="151813"/>
    <x v="102"/>
    <s v="Low"/>
    <s v="Laptop"/>
  </r>
  <r>
    <n v="104"/>
    <x v="2"/>
    <x v="5"/>
    <x v="2"/>
    <x v="17"/>
    <n v="44158"/>
    <x v="103"/>
    <s v="Low"/>
    <s v="Tablet"/>
  </r>
  <r>
    <n v="105"/>
    <x v="0"/>
    <x v="0"/>
    <x v="2"/>
    <x v="11"/>
    <n v="165880"/>
    <x v="104"/>
    <s v="High"/>
    <s v="Laptop"/>
  </r>
  <r>
    <n v="106"/>
    <x v="0"/>
    <x v="0"/>
    <x v="4"/>
    <x v="9"/>
    <n v="102763"/>
    <x v="105"/>
    <s v="High"/>
    <s v="Laptop"/>
  </r>
  <r>
    <n v="107"/>
    <x v="1"/>
    <x v="4"/>
    <x v="3"/>
    <x v="15"/>
    <n v="98757"/>
    <x v="106"/>
    <s v="Low"/>
    <s v="Phone"/>
  </r>
  <r>
    <n v="108"/>
    <x v="1"/>
    <x v="3"/>
    <x v="3"/>
    <x v="4"/>
    <n v="92201"/>
    <x v="107"/>
    <s v="Low"/>
    <s v="Phone"/>
  </r>
  <r>
    <n v="109"/>
    <x v="2"/>
    <x v="6"/>
    <x v="3"/>
    <x v="13"/>
    <n v="85106"/>
    <x v="108"/>
    <s v="High"/>
    <s v="Tablet"/>
  </r>
  <r>
    <n v="110"/>
    <x v="2"/>
    <x v="6"/>
    <x v="1"/>
    <x v="17"/>
    <n v="82783"/>
    <x v="109"/>
    <s v="High"/>
    <s v="Tablet"/>
  </r>
  <r>
    <n v="111"/>
    <x v="0"/>
    <x v="1"/>
    <x v="0"/>
    <x v="2"/>
    <n v="184074"/>
    <x v="110"/>
    <s v="Low"/>
    <s v="Laptop"/>
  </r>
  <r>
    <n v="112"/>
    <x v="1"/>
    <x v="7"/>
    <x v="4"/>
    <x v="3"/>
    <n v="101348"/>
    <x v="111"/>
    <s v="High"/>
    <s v="Phone"/>
  </r>
  <r>
    <n v="113"/>
    <x v="1"/>
    <x v="4"/>
    <x v="3"/>
    <x v="0"/>
    <n v="75254"/>
    <x v="112"/>
    <s v="High"/>
    <s v="Phone"/>
  </r>
  <r>
    <n v="114"/>
    <x v="2"/>
    <x v="8"/>
    <x v="1"/>
    <x v="1"/>
    <n v="99494"/>
    <x v="113"/>
    <s v="High"/>
    <s v="Tablet"/>
  </r>
  <r>
    <n v="115"/>
    <x v="2"/>
    <x v="8"/>
    <x v="2"/>
    <x v="6"/>
    <n v="48017"/>
    <x v="114"/>
    <s v="Low"/>
    <s v="Tablet"/>
  </r>
  <r>
    <n v="116"/>
    <x v="0"/>
    <x v="1"/>
    <x v="4"/>
    <x v="2"/>
    <n v="143413"/>
    <x v="115"/>
    <s v="Low"/>
    <s v="Laptop"/>
  </r>
  <r>
    <n v="117"/>
    <x v="0"/>
    <x v="2"/>
    <x v="1"/>
    <x v="4"/>
    <n v="193196"/>
    <x v="116"/>
    <s v="High"/>
    <s v="Laptop"/>
  </r>
  <r>
    <n v="118"/>
    <x v="2"/>
    <x v="6"/>
    <x v="3"/>
    <x v="4"/>
    <n v="59963"/>
    <x v="117"/>
    <s v="Low"/>
    <s v="Tablet"/>
  </r>
  <r>
    <n v="119"/>
    <x v="2"/>
    <x v="8"/>
    <x v="2"/>
    <x v="2"/>
    <n v="79037"/>
    <x v="118"/>
    <s v="Low"/>
    <s v="Tablet"/>
  </r>
  <r>
    <n v="120"/>
    <x v="0"/>
    <x v="1"/>
    <x v="1"/>
    <x v="9"/>
    <n v="232709"/>
    <x v="119"/>
    <s v="High"/>
    <s v="Laptop"/>
  </r>
  <r>
    <n v="121"/>
    <x v="1"/>
    <x v="4"/>
    <x v="0"/>
    <x v="5"/>
    <n v="93434"/>
    <x v="120"/>
    <s v="Low"/>
    <s v="Phone"/>
  </r>
  <r>
    <n v="122"/>
    <x v="1"/>
    <x v="7"/>
    <x v="0"/>
    <x v="14"/>
    <n v="83954"/>
    <x v="121"/>
    <s v="High"/>
    <s v="Phone"/>
  </r>
  <r>
    <n v="123"/>
    <x v="1"/>
    <x v="7"/>
    <x v="0"/>
    <x v="18"/>
    <n v="99144"/>
    <x v="122"/>
    <s v="Low"/>
    <s v="Phone"/>
  </r>
  <r>
    <n v="124"/>
    <x v="1"/>
    <x v="7"/>
    <x v="4"/>
    <x v="11"/>
    <n v="76282"/>
    <x v="123"/>
    <s v="Low"/>
    <s v="Phone"/>
  </r>
  <r>
    <n v="125"/>
    <x v="0"/>
    <x v="0"/>
    <x v="3"/>
    <x v="0"/>
    <n v="240334"/>
    <x v="124"/>
    <s v="High"/>
    <s v="Laptop"/>
  </r>
  <r>
    <n v="126"/>
    <x v="1"/>
    <x v="7"/>
    <x v="2"/>
    <x v="8"/>
    <n v="73568"/>
    <x v="125"/>
    <s v="Low"/>
    <s v="Phone"/>
  </r>
  <r>
    <n v="127"/>
    <x v="1"/>
    <x v="4"/>
    <x v="0"/>
    <x v="0"/>
    <n v="77022"/>
    <x v="126"/>
    <s v="High"/>
    <s v="Phone"/>
  </r>
  <r>
    <n v="128"/>
    <x v="0"/>
    <x v="2"/>
    <x v="2"/>
    <x v="2"/>
    <n v="94621"/>
    <x v="127"/>
    <s v="Low"/>
    <s v="Laptop"/>
  </r>
  <r>
    <n v="129"/>
    <x v="0"/>
    <x v="1"/>
    <x v="2"/>
    <x v="5"/>
    <n v="174717"/>
    <x v="128"/>
    <s v="Low"/>
    <s v="Laptop"/>
  </r>
  <r>
    <n v="130"/>
    <x v="0"/>
    <x v="0"/>
    <x v="2"/>
    <x v="6"/>
    <n v="195186"/>
    <x v="129"/>
    <s v="High"/>
    <s v="Laptop"/>
  </r>
  <r>
    <n v="131"/>
    <x v="0"/>
    <x v="0"/>
    <x v="4"/>
    <x v="15"/>
    <n v="91062"/>
    <x v="130"/>
    <s v="Low"/>
    <s v="Laptop"/>
  </r>
  <r>
    <n v="132"/>
    <x v="1"/>
    <x v="4"/>
    <x v="1"/>
    <x v="3"/>
    <n v="64632"/>
    <x v="131"/>
    <s v="Low"/>
    <s v="Phone"/>
  </r>
  <r>
    <n v="133"/>
    <x v="1"/>
    <x v="7"/>
    <x v="1"/>
    <x v="5"/>
    <n v="76616"/>
    <x v="132"/>
    <s v="Low"/>
    <s v="Phone"/>
  </r>
  <r>
    <n v="134"/>
    <x v="0"/>
    <x v="2"/>
    <x v="1"/>
    <x v="2"/>
    <n v="171264"/>
    <x v="133"/>
    <s v="Low"/>
    <s v="Laptop"/>
  </r>
  <r>
    <n v="135"/>
    <x v="0"/>
    <x v="2"/>
    <x v="0"/>
    <x v="12"/>
    <n v="138447"/>
    <x v="134"/>
    <s v="High"/>
    <s v="Laptop"/>
  </r>
  <r>
    <n v="136"/>
    <x v="0"/>
    <x v="1"/>
    <x v="4"/>
    <x v="11"/>
    <n v="249096"/>
    <x v="135"/>
    <s v="High"/>
    <s v="Laptop"/>
  </r>
  <r>
    <n v="137"/>
    <x v="1"/>
    <x v="7"/>
    <x v="1"/>
    <x v="18"/>
    <n v="61605"/>
    <x v="136"/>
    <s v="Low"/>
    <s v="Phone"/>
  </r>
  <r>
    <n v="138"/>
    <x v="2"/>
    <x v="5"/>
    <x v="1"/>
    <x v="12"/>
    <n v="64818"/>
    <x v="137"/>
    <s v="Low"/>
    <s v="Tablet"/>
  </r>
  <r>
    <n v="139"/>
    <x v="0"/>
    <x v="2"/>
    <x v="1"/>
    <x v="2"/>
    <n v="249818"/>
    <x v="138"/>
    <s v="Low"/>
    <s v="Laptop"/>
  </r>
  <r>
    <n v="140"/>
    <x v="0"/>
    <x v="2"/>
    <x v="4"/>
    <x v="17"/>
    <n v="103234"/>
    <x v="139"/>
    <s v="High"/>
    <s v="Laptop"/>
  </r>
  <r>
    <n v="141"/>
    <x v="2"/>
    <x v="5"/>
    <x v="3"/>
    <x v="1"/>
    <n v="88153"/>
    <x v="140"/>
    <s v="Low"/>
    <s v="Tablet"/>
  </r>
  <r>
    <n v="142"/>
    <x v="1"/>
    <x v="7"/>
    <x v="4"/>
    <x v="8"/>
    <n v="86386"/>
    <x v="141"/>
    <s v="Low"/>
    <s v="Phone"/>
  </r>
  <r>
    <n v="143"/>
    <x v="2"/>
    <x v="8"/>
    <x v="1"/>
    <x v="18"/>
    <n v="41917"/>
    <x v="142"/>
    <s v="Low"/>
    <s v="Tablet"/>
  </r>
  <r>
    <n v="144"/>
    <x v="1"/>
    <x v="4"/>
    <x v="3"/>
    <x v="5"/>
    <n v="80128"/>
    <x v="143"/>
    <s v="Low"/>
    <s v="Phone"/>
  </r>
  <r>
    <n v="145"/>
    <x v="0"/>
    <x v="2"/>
    <x v="0"/>
    <x v="3"/>
    <n v="95287"/>
    <x v="144"/>
    <s v="High"/>
    <s v="Laptop"/>
  </r>
  <r>
    <n v="146"/>
    <x v="1"/>
    <x v="4"/>
    <x v="2"/>
    <x v="15"/>
    <n v="103336"/>
    <x v="145"/>
    <s v="Low"/>
    <s v="Phone"/>
  </r>
  <r>
    <n v="147"/>
    <x v="2"/>
    <x v="5"/>
    <x v="1"/>
    <x v="17"/>
    <n v="71037"/>
    <x v="146"/>
    <s v="High"/>
    <s v="Tablet"/>
  </r>
  <r>
    <n v="148"/>
    <x v="2"/>
    <x v="8"/>
    <x v="2"/>
    <x v="1"/>
    <n v="59019"/>
    <x v="147"/>
    <s v="Low"/>
    <s v="Tablet"/>
  </r>
  <r>
    <n v="149"/>
    <x v="1"/>
    <x v="7"/>
    <x v="1"/>
    <x v="10"/>
    <n v="101832"/>
    <x v="148"/>
    <s v="Low"/>
    <s v="Phone"/>
  </r>
  <r>
    <n v="150"/>
    <x v="2"/>
    <x v="5"/>
    <x v="0"/>
    <x v="15"/>
    <n v="63930"/>
    <x v="149"/>
    <s v="Low"/>
    <s v="Tablet"/>
  </r>
  <r>
    <n v="151"/>
    <x v="2"/>
    <x v="6"/>
    <x v="2"/>
    <x v="11"/>
    <n v="58520"/>
    <x v="150"/>
    <s v="Low"/>
    <s v="Tablet"/>
  </r>
  <r>
    <n v="152"/>
    <x v="1"/>
    <x v="7"/>
    <x v="4"/>
    <x v="16"/>
    <n v="81526"/>
    <x v="151"/>
    <s v="Low"/>
    <s v="Phone"/>
  </r>
  <r>
    <n v="153"/>
    <x v="1"/>
    <x v="3"/>
    <x v="3"/>
    <x v="16"/>
    <n v="71246"/>
    <x v="152"/>
    <s v="Low"/>
    <s v="Phone"/>
  </r>
  <r>
    <n v="154"/>
    <x v="0"/>
    <x v="1"/>
    <x v="2"/>
    <x v="14"/>
    <n v="186646"/>
    <x v="153"/>
    <s v="High"/>
    <s v="Laptop"/>
  </r>
  <r>
    <n v="155"/>
    <x v="2"/>
    <x v="5"/>
    <x v="2"/>
    <x v="0"/>
    <n v="45408"/>
    <x v="154"/>
    <s v="Low"/>
    <s v="Tablet"/>
  </r>
  <r>
    <n v="156"/>
    <x v="1"/>
    <x v="7"/>
    <x v="1"/>
    <x v="16"/>
    <n v="104028"/>
    <x v="155"/>
    <s v="Low"/>
    <s v="Phone"/>
  </r>
  <r>
    <n v="157"/>
    <x v="2"/>
    <x v="8"/>
    <x v="3"/>
    <x v="4"/>
    <n v="86714"/>
    <x v="156"/>
    <s v="Low"/>
    <s v="Tablet"/>
  </r>
  <r>
    <n v="158"/>
    <x v="0"/>
    <x v="1"/>
    <x v="3"/>
    <x v="8"/>
    <n v="219038"/>
    <x v="157"/>
    <s v="Low"/>
    <s v="Laptop"/>
  </r>
  <r>
    <n v="159"/>
    <x v="1"/>
    <x v="3"/>
    <x v="0"/>
    <x v="0"/>
    <n v="78755"/>
    <x v="158"/>
    <s v="High"/>
    <s v="Phone"/>
  </r>
  <r>
    <n v="160"/>
    <x v="0"/>
    <x v="1"/>
    <x v="2"/>
    <x v="14"/>
    <n v="214714"/>
    <x v="159"/>
    <s v="High"/>
    <s v="Laptop"/>
  </r>
  <r>
    <n v="161"/>
    <x v="1"/>
    <x v="4"/>
    <x v="0"/>
    <x v="4"/>
    <n v="103879"/>
    <x v="160"/>
    <s v="High"/>
    <s v="Phone"/>
  </r>
  <r>
    <n v="162"/>
    <x v="2"/>
    <x v="5"/>
    <x v="0"/>
    <x v="3"/>
    <n v="50380"/>
    <x v="161"/>
    <s v="Low"/>
    <s v="Tablet"/>
  </r>
  <r>
    <n v="163"/>
    <x v="1"/>
    <x v="3"/>
    <x v="1"/>
    <x v="0"/>
    <n v="86215"/>
    <x v="162"/>
    <s v="High"/>
    <s v="Phone"/>
  </r>
  <r>
    <n v="164"/>
    <x v="1"/>
    <x v="3"/>
    <x v="1"/>
    <x v="10"/>
    <n v="60126"/>
    <x v="163"/>
    <s v="Low"/>
    <s v="Phone"/>
  </r>
  <r>
    <n v="165"/>
    <x v="0"/>
    <x v="2"/>
    <x v="2"/>
    <x v="12"/>
    <n v="224869"/>
    <x v="164"/>
    <s v="High"/>
    <s v="Laptop"/>
  </r>
  <r>
    <n v="166"/>
    <x v="0"/>
    <x v="0"/>
    <x v="1"/>
    <x v="13"/>
    <n v="222717"/>
    <x v="165"/>
    <s v="High"/>
    <s v="Laptop"/>
  </r>
  <r>
    <n v="167"/>
    <x v="2"/>
    <x v="5"/>
    <x v="3"/>
    <x v="16"/>
    <n v="93173"/>
    <x v="166"/>
    <s v="Low"/>
    <s v="Tablet"/>
  </r>
  <r>
    <n v="168"/>
    <x v="0"/>
    <x v="0"/>
    <x v="3"/>
    <x v="12"/>
    <n v="129224"/>
    <x v="167"/>
    <s v="High"/>
    <s v="Laptop"/>
  </r>
  <r>
    <n v="169"/>
    <x v="2"/>
    <x v="6"/>
    <x v="0"/>
    <x v="5"/>
    <n v="89688"/>
    <x v="168"/>
    <s v="Low"/>
    <s v="Tablet"/>
  </r>
  <r>
    <n v="170"/>
    <x v="0"/>
    <x v="2"/>
    <x v="1"/>
    <x v="17"/>
    <n v="131914"/>
    <x v="169"/>
    <s v="High"/>
    <s v="Laptop"/>
  </r>
  <r>
    <n v="171"/>
    <x v="0"/>
    <x v="1"/>
    <x v="4"/>
    <x v="7"/>
    <n v="109956"/>
    <x v="170"/>
    <s v="Low"/>
    <s v="Laptop"/>
  </r>
  <r>
    <n v="172"/>
    <x v="1"/>
    <x v="3"/>
    <x v="0"/>
    <x v="1"/>
    <n v="64757"/>
    <x v="171"/>
    <s v="Low"/>
    <s v="Phone"/>
  </r>
  <r>
    <n v="173"/>
    <x v="1"/>
    <x v="3"/>
    <x v="4"/>
    <x v="7"/>
    <n v="64944"/>
    <x v="172"/>
    <s v="Low"/>
    <s v="Phone"/>
  </r>
  <r>
    <n v="174"/>
    <x v="2"/>
    <x v="8"/>
    <x v="3"/>
    <x v="10"/>
    <n v="60806"/>
    <x v="173"/>
    <s v="Low"/>
    <s v="Tablet"/>
  </r>
  <r>
    <n v="175"/>
    <x v="2"/>
    <x v="5"/>
    <x v="3"/>
    <x v="14"/>
    <n v="73719"/>
    <x v="174"/>
    <s v="High"/>
    <s v="Tablet"/>
  </r>
  <r>
    <n v="176"/>
    <x v="1"/>
    <x v="3"/>
    <x v="4"/>
    <x v="9"/>
    <n v="88071"/>
    <x v="175"/>
    <s v="High"/>
    <s v="Phone"/>
  </r>
  <r>
    <n v="177"/>
    <x v="2"/>
    <x v="5"/>
    <x v="4"/>
    <x v="0"/>
    <n v="46645"/>
    <x v="176"/>
    <s v="Low"/>
    <s v="Tablet"/>
  </r>
  <r>
    <n v="178"/>
    <x v="2"/>
    <x v="8"/>
    <x v="4"/>
    <x v="18"/>
    <n v="94078"/>
    <x v="177"/>
    <s v="Low"/>
    <s v="Tablet"/>
  </r>
  <r>
    <n v="179"/>
    <x v="1"/>
    <x v="4"/>
    <x v="0"/>
    <x v="7"/>
    <n v="108770"/>
    <x v="178"/>
    <s v="Low"/>
    <s v="Phone"/>
  </r>
  <r>
    <n v="180"/>
    <x v="0"/>
    <x v="2"/>
    <x v="0"/>
    <x v="2"/>
    <n v="195947"/>
    <x v="179"/>
    <s v="Low"/>
    <s v="Laptop"/>
  </r>
  <r>
    <n v="181"/>
    <x v="0"/>
    <x v="0"/>
    <x v="2"/>
    <x v="10"/>
    <n v="120678"/>
    <x v="180"/>
    <s v="Low"/>
    <s v="Laptop"/>
  </r>
  <r>
    <n v="182"/>
    <x v="0"/>
    <x v="0"/>
    <x v="2"/>
    <x v="10"/>
    <n v="162258"/>
    <x v="181"/>
    <s v="High"/>
    <s v="Laptop"/>
  </r>
  <r>
    <n v="183"/>
    <x v="1"/>
    <x v="4"/>
    <x v="2"/>
    <x v="10"/>
    <n v="67970"/>
    <x v="182"/>
    <s v="Low"/>
    <s v="Phone"/>
  </r>
  <r>
    <n v="184"/>
    <x v="1"/>
    <x v="7"/>
    <x v="0"/>
    <x v="13"/>
    <n v="107838"/>
    <x v="183"/>
    <s v="High"/>
    <s v="Phone"/>
  </r>
  <r>
    <n v="185"/>
    <x v="0"/>
    <x v="2"/>
    <x v="3"/>
    <x v="7"/>
    <n v="241151"/>
    <x v="184"/>
    <s v="High"/>
    <s v="Laptop"/>
  </r>
  <r>
    <n v="186"/>
    <x v="0"/>
    <x v="0"/>
    <x v="1"/>
    <x v="6"/>
    <n v="113236"/>
    <x v="185"/>
    <s v="High"/>
    <s v="Laptop"/>
  </r>
  <r>
    <n v="187"/>
    <x v="0"/>
    <x v="2"/>
    <x v="3"/>
    <x v="2"/>
    <n v="206243"/>
    <x v="186"/>
    <s v="Low"/>
    <s v="Laptop"/>
  </r>
  <r>
    <n v="188"/>
    <x v="1"/>
    <x v="7"/>
    <x v="0"/>
    <x v="12"/>
    <n v="67083"/>
    <x v="187"/>
    <s v="Low"/>
    <s v="Phone"/>
  </r>
  <r>
    <n v="189"/>
    <x v="2"/>
    <x v="6"/>
    <x v="4"/>
    <x v="4"/>
    <n v="59063"/>
    <x v="188"/>
    <s v="Low"/>
    <s v="Tablet"/>
  </r>
  <r>
    <n v="190"/>
    <x v="2"/>
    <x v="5"/>
    <x v="0"/>
    <x v="17"/>
    <n v="52808"/>
    <x v="189"/>
    <s v="Low"/>
    <s v="Tablet"/>
  </r>
  <r>
    <n v="191"/>
    <x v="1"/>
    <x v="3"/>
    <x v="2"/>
    <x v="7"/>
    <n v="83752"/>
    <x v="190"/>
    <s v="Low"/>
    <s v="Phone"/>
  </r>
  <r>
    <n v="192"/>
    <x v="2"/>
    <x v="8"/>
    <x v="0"/>
    <x v="11"/>
    <n v="56458"/>
    <x v="191"/>
    <s v="Low"/>
    <s v="Tablet"/>
  </r>
  <r>
    <n v="193"/>
    <x v="1"/>
    <x v="7"/>
    <x v="4"/>
    <x v="8"/>
    <n v="117384"/>
    <x v="192"/>
    <s v="Low"/>
    <s v="Phone"/>
  </r>
  <r>
    <n v="194"/>
    <x v="1"/>
    <x v="3"/>
    <x v="0"/>
    <x v="18"/>
    <n v="72875"/>
    <x v="193"/>
    <s v="Low"/>
    <s v="Phone"/>
  </r>
  <r>
    <n v="195"/>
    <x v="2"/>
    <x v="6"/>
    <x v="0"/>
    <x v="18"/>
    <n v="44263"/>
    <x v="194"/>
    <s v="Low"/>
    <s v="Tablet"/>
  </r>
  <r>
    <n v="196"/>
    <x v="1"/>
    <x v="3"/>
    <x v="2"/>
    <x v="13"/>
    <n v="80609"/>
    <x v="195"/>
    <s v="High"/>
    <s v="Phone"/>
  </r>
  <r>
    <n v="197"/>
    <x v="1"/>
    <x v="4"/>
    <x v="3"/>
    <x v="8"/>
    <n v="81874"/>
    <x v="196"/>
    <s v="Low"/>
    <s v="Phone"/>
  </r>
  <r>
    <n v="198"/>
    <x v="0"/>
    <x v="1"/>
    <x v="2"/>
    <x v="8"/>
    <n v="101046"/>
    <x v="197"/>
    <s v="Low"/>
    <s v="Laptop"/>
  </r>
  <r>
    <n v="199"/>
    <x v="2"/>
    <x v="8"/>
    <x v="4"/>
    <x v="0"/>
    <n v="44853"/>
    <x v="198"/>
    <s v="Low"/>
    <s v="Tablet"/>
  </r>
  <r>
    <n v="200"/>
    <x v="2"/>
    <x v="5"/>
    <x v="4"/>
    <x v="14"/>
    <n v="71987"/>
    <x v="199"/>
    <s v="High"/>
    <s v="Tablet"/>
  </r>
  <r>
    <n v="201"/>
    <x v="2"/>
    <x v="5"/>
    <x v="4"/>
    <x v="11"/>
    <n v="40481"/>
    <x v="200"/>
    <s v="Low"/>
    <s v="Tablet"/>
  </r>
  <r>
    <n v="202"/>
    <x v="1"/>
    <x v="3"/>
    <x v="0"/>
    <x v="16"/>
    <n v="94008"/>
    <x v="201"/>
    <s v="Low"/>
    <s v="Phone"/>
  </r>
  <r>
    <n v="203"/>
    <x v="1"/>
    <x v="4"/>
    <x v="1"/>
    <x v="5"/>
    <n v="105186"/>
    <x v="202"/>
    <s v="Low"/>
    <s v="Phone"/>
  </r>
  <r>
    <n v="204"/>
    <x v="0"/>
    <x v="2"/>
    <x v="3"/>
    <x v="18"/>
    <n v="141474"/>
    <x v="203"/>
    <s v="Low"/>
    <s v="Laptop"/>
  </r>
  <r>
    <n v="205"/>
    <x v="0"/>
    <x v="1"/>
    <x v="4"/>
    <x v="17"/>
    <n v="126408"/>
    <x v="204"/>
    <s v="High"/>
    <s v="Laptop"/>
  </r>
  <r>
    <n v="206"/>
    <x v="0"/>
    <x v="2"/>
    <x v="3"/>
    <x v="9"/>
    <n v="233326"/>
    <x v="205"/>
    <s v="High"/>
    <s v="Laptop"/>
  </r>
  <r>
    <n v="207"/>
    <x v="1"/>
    <x v="4"/>
    <x v="4"/>
    <x v="15"/>
    <n v="62421"/>
    <x v="206"/>
    <s v="Low"/>
    <s v="Phone"/>
  </r>
  <r>
    <n v="208"/>
    <x v="2"/>
    <x v="6"/>
    <x v="3"/>
    <x v="3"/>
    <n v="93145"/>
    <x v="207"/>
    <s v="High"/>
    <s v="Tablet"/>
  </r>
  <r>
    <n v="209"/>
    <x v="2"/>
    <x v="5"/>
    <x v="0"/>
    <x v="4"/>
    <n v="44806"/>
    <x v="208"/>
    <s v="Low"/>
    <s v="Tablet"/>
  </r>
  <r>
    <n v="210"/>
    <x v="1"/>
    <x v="7"/>
    <x v="4"/>
    <x v="7"/>
    <n v="104813"/>
    <x v="209"/>
    <s v="Low"/>
    <s v="Phone"/>
  </r>
  <r>
    <n v="211"/>
    <x v="0"/>
    <x v="2"/>
    <x v="2"/>
    <x v="6"/>
    <n v="141571"/>
    <x v="210"/>
    <s v="High"/>
    <s v="Laptop"/>
  </r>
  <r>
    <n v="212"/>
    <x v="2"/>
    <x v="5"/>
    <x v="2"/>
    <x v="4"/>
    <n v="61776"/>
    <x v="211"/>
    <s v="Low"/>
    <s v="Tablet"/>
  </r>
  <r>
    <n v="213"/>
    <x v="1"/>
    <x v="7"/>
    <x v="1"/>
    <x v="5"/>
    <n v="89866"/>
    <x v="212"/>
    <s v="Low"/>
    <s v="Phone"/>
  </r>
  <r>
    <n v="214"/>
    <x v="0"/>
    <x v="1"/>
    <x v="4"/>
    <x v="17"/>
    <n v="236389"/>
    <x v="213"/>
    <s v="High"/>
    <s v="Laptop"/>
  </r>
  <r>
    <n v="215"/>
    <x v="1"/>
    <x v="7"/>
    <x v="1"/>
    <x v="16"/>
    <n v="88687"/>
    <x v="214"/>
    <s v="Low"/>
    <s v="Phone"/>
  </r>
  <r>
    <n v="216"/>
    <x v="2"/>
    <x v="8"/>
    <x v="2"/>
    <x v="5"/>
    <n v="40545"/>
    <x v="215"/>
    <s v="Low"/>
    <s v="Tablet"/>
  </r>
  <r>
    <n v="217"/>
    <x v="0"/>
    <x v="0"/>
    <x v="2"/>
    <x v="11"/>
    <n v="234991"/>
    <x v="216"/>
    <s v="High"/>
    <s v="Laptop"/>
  </r>
  <r>
    <n v="218"/>
    <x v="0"/>
    <x v="1"/>
    <x v="3"/>
    <x v="13"/>
    <n v="151916"/>
    <x v="217"/>
    <s v="High"/>
    <s v="Laptop"/>
  </r>
  <r>
    <n v="219"/>
    <x v="1"/>
    <x v="4"/>
    <x v="1"/>
    <x v="4"/>
    <n v="99837"/>
    <x v="218"/>
    <s v="Low"/>
    <s v="Phone"/>
  </r>
  <r>
    <n v="220"/>
    <x v="1"/>
    <x v="3"/>
    <x v="0"/>
    <x v="17"/>
    <n v="62050"/>
    <x v="219"/>
    <s v="High"/>
    <s v="Phone"/>
  </r>
  <r>
    <n v="221"/>
    <x v="2"/>
    <x v="8"/>
    <x v="4"/>
    <x v="15"/>
    <n v="97775"/>
    <x v="220"/>
    <s v="Low"/>
    <s v="Tablet"/>
  </r>
  <r>
    <n v="222"/>
    <x v="1"/>
    <x v="4"/>
    <x v="2"/>
    <x v="15"/>
    <n v="119452"/>
    <x v="221"/>
    <s v="Low"/>
    <s v="Phone"/>
  </r>
  <r>
    <n v="223"/>
    <x v="2"/>
    <x v="6"/>
    <x v="1"/>
    <x v="2"/>
    <n v="64262"/>
    <x v="222"/>
    <s v="Low"/>
    <s v="Tablet"/>
  </r>
  <r>
    <n v="224"/>
    <x v="0"/>
    <x v="0"/>
    <x v="2"/>
    <x v="14"/>
    <n v="167129"/>
    <x v="223"/>
    <s v="High"/>
    <s v="Laptop"/>
  </r>
  <r>
    <n v="225"/>
    <x v="2"/>
    <x v="6"/>
    <x v="3"/>
    <x v="12"/>
    <n v="83513"/>
    <x v="224"/>
    <s v="Low"/>
    <s v="Tablet"/>
  </r>
  <r>
    <n v="226"/>
    <x v="1"/>
    <x v="7"/>
    <x v="2"/>
    <x v="0"/>
    <n v="60726"/>
    <x v="225"/>
    <s v="Low"/>
    <s v="Phone"/>
  </r>
  <r>
    <n v="227"/>
    <x v="2"/>
    <x v="6"/>
    <x v="4"/>
    <x v="4"/>
    <n v="65425"/>
    <x v="226"/>
    <s v="Low"/>
    <s v="Tablet"/>
  </r>
  <r>
    <n v="228"/>
    <x v="0"/>
    <x v="1"/>
    <x v="4"/>
    <x v="18"/>
    <n v="123660"/>
    <x v="227"/>
    <s v="Low"/>
    <s v="Laptop"/>
  </r>
  <r>
    <n v="229"/>
    <x v="1"/>
    <x v="7"/>
    <x v="2"/>
    <x v="15"/>
    <n v="104641"/>
    <x v="228"/>
    <s v="Low"/>
    <s v="Phone"/>
  </r>
  <r>
    <n v="230"/>
    <x v="0"/>
    <x v="0"/>
    <x v="1"/>
    <x v="12"/>
    <n v="178801"/>
    <x v="229"/>
    <s v="High"/>
    <s v="Laptop"/>
  </r>
  <r>
    <n v="231"/>
    <x v="2"/>
    <x v="6"/>
    <x v="0"/>
    <x v="0"/>
    <n v="98762"/>
    <x v="230"/>
    <s v="High"/>
    <s v="Tablet"/>
  </r>
  <r>
    <n v="232"/>
    <x v="0"/>
    <x v="2"/>
    <x v="0"/>
    <x v="10"/>
    <n v="160831"/>
    <x v="231"/>
    <s v="High"/>
    <s v="Laptop"/>
  </r>
  <r>
    <n v="233"/>
    <x v="2"/>
    <x v="8"/>
    <x v="3"/>
    <x v="15"/>
    <n v="43020"/>
    <x v="232"/>
    <s v="Low"/>
    <s v="Tablet"/>
  </r>
  <r>
    <n v="234"/>
    <x v="1"/>
    <x v="3"/>
    <x v="3"/>
    <x v="6"/>
    <n v="69516"/>
    <x v="233"/>
    <s v="High"/>
    <s v="Phone"/>
  </r>
  <r>
    <n v="235"/>
    <x v="0"/>
    <x v="2"/>
    <x v="2"/>
    <x v="5"/>
    <n v="161719"/>
    <x v="234"/>
    <s v="Low"/>
    <s v="Laptop"/>
  </r>
  <r>
    <n v="236"/>
    <x v="1"/>
    <x v="3"/>
    <x v="1"/>
    <x v="16"/>
    <n v="118629"/>
    <x v="235"/>
    <s v="Low"/>
    <s v="Phone"/>
  </r>
  <r>
    <n v="237"/>
    <x v="1"/>
    <x v="4"/>
    <x v="3"/>
    <x v="9"/>
    <n v="78088"/>
    <x v="236"/>
    <s v="High"/>
    <s v="Phone"/>
  </r>
  <r>
    <n v="238"/>
    <x v="2"/>
    <x v="5"/>
    <x v="3"/>
    <x v="18"/>
    <n v="62534"/>
    <x v="237"/>
    <s v="Low"/>
    <s v="Tablet"/>
  </r>
  <r>
    <n v="239"/>
    <x v="2"/>
    <x v="6"/>
    <x v="0"/>
    <x v="14"/>
    <n v="87638"/>
    <x v="238"/>
    <s v="High"/>
    <s v="Tablet"/>
  </r>
  <r>
    <n v="240"/>
    <x v="0"/>
    <x v="0"/>
    <x v="0"/>
    <x v="7"/>
    <n v="239859"/>
    <x v="239"/>
    <s v="High"/>
    <s v="Laptop"/>
  </r>
  <r>
    <n v="241"/>
    <x v="2"/>
    <x v="6"/>
    <x v="4"/>
    <x v="3"/>
    <n v="50177"/>
    <x v="240"/>
    <s v="Low"/>
    <s v="Tablet"/>
  </r>
  <r>
    <n v="242"/>
    <x v="1"/>
    <x v="3"/>
    <x v="3"/>
    <x v="10"/>
    <n v="91966"/>
    <x v="241"/>
    <s v="Low"/>
    <s v="Phone"/>
  </r>
  <r>
    <n v="243"/>
    <x v="0"/>
    <x v="2"/>
    <x v="4"/>
    <x v="14"/>
    <n v="119257"/>
    <x v="242"/>
    <s v="High"/>
    <s v="Laptop"/>
  </r>
  <r>
    <n v="244"/>
    <x v="2"/>
    <x v="5"/>
    <x v="1"/>
    <x v="0"/>
    <n v="66660"/>
    <x v="243"/>
    <s v="Low"/>
    <s v="Tablet"/>
  </r>
  <r>
    <n v="245"/>
    <x v="2"/>
    <x v="5"/>
    <x v="0"/>
    <x v="17"/>
    <n v="98261"/>
    <x v="244"/>
    <s v="High"/>
    <s v="Tablet"/>
  </r>
  <r>
    <n v="246"/>
    <x v="2"/>
    <x v="6"/>
    <x v="3"/>
    <x v="6"/>
    <n v="63821"/>
    <x v="245"/>
    <s v="High"/>
    <s v="Tablet"/>
  </r>
  <r>
    <n v="247"/>
    <x v="0"/>
    <x v="1"/>
    <x v="4"/>
    <x v="3"/>
    <n v="213786"/>
    <x v="246"/>
    <s v="High"/>
    <s v="Laptop"/>
  </r>
  <r>
    <n v="248"/>
    <x v="2"/>
    <x v="5"/>
    <x v="0"/>
    <x v="0"/>
    <n v="67082"/>
    <x v="247"/>
    <s v="High"/>
    <s v="Tablet"/>
  </r>
  <r>
    <n v="249"/>
    <x v="2"/>
    <x v="8"/>
    <x v="2"/>
    <x v="2"/>
    <n v="97859"/>
    <x v="248"/>
    <s v="Low"/>
    <s v="Tablet"/>
  </r>
  <r>
    <n v="250"/>
    <x v="1"/>
    <x v="3"/>
    <x v="2"/>
    <x v="7"/>
    <n v="63342"/>
    <x v="249"/>
    <s v="Low"/>
    <s v="Phone"/>
  </r>
  <r>
    <n v="251"/>
    <x v="2"/>
    <x v="5"/>
    <x v="2"/>
    <x v="13"/>
    <n v="43093"/>
    <x v="250"/>
    <s v="Low"/>
    <s v="Tablet"/>
  </r>
  <r>
    <n v="252"/>
    <x v="1"/>
    <x v="7"/>
    <x v="3"/>
    <x v="3"/>
    <n v="88087"/>
    <x v="251"/>
    <s v="High"/>
    <s v="Phone"/>
  </r>
  <r>
    <n v="253"/>
    <x v="0"/>
    <x v="0"/>
    <x v="2"/>
    <x v="18"/>
    <n v="218386"/>
    <x v="252"/>
    <s v="High"/>
    <s v="Laptop"/>
  </r>
  <r>
    <n v="254"/>
    <x v="1"/>
    <x v="7"/>
    <x v="2"/>
    <x v="18"/>
    <n v="79982"/>
    <x v="253"/>
    <s v="Low"/>
    <s v="Phone"/>
  </r>
  <r>
    <n v="255"/>
    <x v="1"/>
    <x v="3"/>
    <x v="2"/>
    <x v="3"/>
    <n v="86385"/>
    <x v="254"/>
    <s v="High"/>
    <s v="Phone"/>
  </r>
  <r>
    <n v="256"/>
    <x v="2"/>
    <x v="6"/>
    <x v="2"/>
    <x v="17"/>
    <n v="43380"/>
    <x v="255"/>
    <s v="Low"/>
    <s v="Tablet"/>
  </r>
  <r>
    <n v="257"/>
    <x v="2"/>
    <x v="8"/>
    <x v="1"/>
    <x v="7"/>
    <n v="78827"/>
    <x v="256"/>
    <s v="Low"/>
    <s v="Tablet"/>
  </r>
  <r>
    <n v="258"/>
    <x v="2"/>
    <x v="5"/>
    <x v="4"/>
    <x v="13"/>
    <n v="43224"/>
    <x v="257"/>
    <s v="Low"/>
    <s v="Tablet"/>
  </r>
  <r>
    <n v="259"/>
    <x v="2"/>
    <x v="6"/>
    <x v="3"/>
    <x v="18"/>
    <n v="96251"/>
    <x v="258"/>
    <s v="Low"/>
    <s v="Tablet"/>
  </r>
  <r>
    <n v="260"/>
    <x v="1"/>
    <x v="7"/>
    <x v="4"/>
    <x v="10"/>
    <n v="117738"/>
    <x v="259"/>
    <s v="Low"/>
    <s v="Phone"/>
  </r>
  <r>
    <n v="261"/>
    <x v="1"/>
    <x v="7"/>
    <x v="2"/>
    <x v="6"/>
    <n v="77773"/>
    <x v="260"/>
    <s v="High"/>
    <s v="Phone"/>
  </r>
  <r>
    <n v="262"/>
    <x v="1"/>
    <x v="3"/>
    <x v="2"/>
    <x v="16"/>
    <n v="111195"/>
    <x v="261"/>
    <s v="Low"/>
    <s v="Phone"/>
  </r>
  <r>
    <n v="263"/>
    <x v="2"/>
    <x v="5"/>
    <x v="1"/>
    <x v="12"/>
    <n v="79499"/>
    <x v="262"/>
    <s v="Low"/>
    <s v="Tablet"/>
  </r>
  <r>
    <n v="264"/>
    <x v="1"/>
    <x v="7"/>
    <x v="4"/>
    <x v="10"/>
    <n v="82431"/>
    <x v="263"/>
    <s v="Low"/>
    <s v="Phone"/>
  </r>
  <r>
    <n v="265"/>
    <x v="1"/>
    <x v="3"/>
    <x v="0"/>
    <x v="11"/>
    <n v="78333"/>
    <x v="264"/>
    <s v="High"/>
    <s v="Phone"/>
  </r>
  <r>
    <n v="266"/>
    <x v="2"/>
    <x v="5"/>
    <x v="0"/>
    <x v="2"/>
    <n v="63398"/>
    <x v="265"/>
    <s v="Low"/>
    <s v="Tablet"/>
  </r>
  <r>
    <n v="267"/>
    <x v="2"/>
    <x v="5"/>
    <x v="4"/>
    <x v="2"/>
    <n v="49078"/>
    <x v="266"/>
    <s v="Low"/>
    <s v="Tablet"/>
  </r>
  <r>
    <n v="268"/>
    <x v="0"/>
    <x v="0"/>
    <x v="4"/>
    <x v="5"/>
    <n v="207832"/>
    <x v="267"/>
    <s v="Low"/>
    <s v="Laptop"/>
  </r>
  <r>
    <n v="269"/>
    <x v="2"/>
    <x v="8"/>
    <x v="2"/>
    <x v="0"/>
    <n v="75198"/>
    <x v="268"/>
    <s v="High"/>
    <s v="Tablet"/>
  </r>
  <r>
    <n v="270"/>
    <x v="2"/>
    <x v="8"/>
    <x v="2"/>
    <x v="5"/>
    <n v="61288"/>
    <x v="269"/>
    <s v="Low"/>
    <s v="Tablet"/>
  </r>
  <r>
    <n v="271"/>
    <x v="2"/>
    <x v="8"/>
    <x v="3"/>
    <x v="3"/>
    <n v="84555"/>
    <x v="270"/>
    <s v="High"/>
    <s v="Tablet"/>
  </r>
  <r>
    <n v="272"/>
    <x v="0"/>
    <x v="2"/>
    <x v="3"/>
    <x v="14"/>
    <n v="160316"/>
    <x v="271"/>
    <s v="High"/>
    <s v="Laptop"/>
  </r>
  <r>
    <n v="273"/>
    <x v="0"/>
    <x v="0"/>
    <x v="2"/>
    <x v="14"/>
    <n v="195361"/>
    <x v="272"/>
    <s v="High"/>
    <s v="Laptop"/>
  </r>
  <r>
    <n v="274"/>
    <x v="2"/>
    <x v="6"/>
    <x v="2"/>
    <x v="12"/>
    <n v="88770"/>
    <x v="273"/>
    <s v="Low"/>
    <s v="Tablet"/>
  </r>
  <r>
    <n v="275"/>
    <x v="0"/>
    <x v="0"/>
    <x v="0"/>
    <x v="0"/>
    <n v="202340"/>
    <x v="274"/>
    <s v="High"/>
    <s v="Laptop"/>
  </r>
  <r>
    <n v="276"/>
    <x v="1"/>
    <x v="3"/>
    <x v="0"/>
    <x v="8"/>
    <n v="85963"/>
    <x v="275"/>
    <s v="Low"/>
    <s v="Phone"/>
  </r>
  <r>
    <n v="277"/>
    <x v="1"/>
    <x v="4"/>
    <x v="1"/>
    <x v="12"/>
    <n v="66563"/>
    <x v="276"/>
    <s v="Low"/>
    <s v="Phone"/>
  </r>
  <r>
    <n v="278"/>
    <x v="2"/>
    <x v="5"/>
    <x v="2"/>
    <x v="2"/>
    <n v="99141"/>
    <x v="277"/>
    <s v="Low"/>
    <s v="Tablet"/>
  </r>
  <r>
    <n v="279"/>
    <x v="0"/>
    <x v="2"/>
    <x v="3"/>
    <x v="3"/>
    <n v="216503"/>
    <x v="278"/>
    <s v="High"/>
    <s v="Laptop"/>
  </r>
  <r>
    <n v="280"/>
    <x v="0"/>
    <x v="0"/>
    <x v="0"/>
    <x v="5"/>
    <n v="244351"/>
    <x v="279"/>
    <s v="Low"/>
    <s v="Laptop"/>
  </r>
  <r>
    <n v="281"/>
    <x v="2"/>
    <x v="8"/>
    <x v="3"/>
    <x v="2"/>
    <n v="66916"/>
    <x v="280"/>
    <s v="Low"/>
    <s v="Tablet"/>
  </r>
  <r>
    <n v="282"/>
    <x v="1"/>
    <x v="7"/>
    <x v="4"/>
    <x v="0"/>
    <n v="92781"/>
    <x v="281"/>
    <s v="High"/>
    <s v="Phone"/>
  </r>
  <r>
    <n v="283"/>
    <x v="2"/>
    <x v="5"/>
    <x v="2"/>
    <x v="18"/>
    <n v="66616"/>
    <x v="282"/>
    <s v="Low"/>
    <s v="Tablet"/>
  </r>
  <r>
    <n v="284"/>
    <x v="1"/>
    <x v="3"/>
    <x v="1"/>
    <x v="16"/>
    <n v="81927"/>
    <x v="283"/>
    <s v="Low"/>
    <s v="Phone"/>
  </r>
  <r>
    <n v="285"/>
    <x v="1"/>
    <x v="4"/>
    <x v="0"/>
    <x v="0"/>
    <n v="99198"/>
    <x v="284"/>
    <s v="High"/>
    <s v="Phone"/>
  </r>
  <r>
    <n v="286"/>
    <x v="1"/>
    <x v="7"/>
    <x v="1"/>
    <x v="3"/>
    <n v="105917"/>
    <x v="285"/>
    <s v="High"/>
    <s v="Phone"/>
  </r>
  <r>
    <n v="287"/>
    <x v="0"/>
    <x v="0"/>
    <x v="3"/>
    <x v="1"/>
    <n v="105563"/>
    <x v="286"/>
    <s v="High"/>
    <s v="Laptop"/>
  </r>
  <r>
    <n v="288"/>
    <x v="1"/>
    <x v="3"/>
    <x v="1"/>
    <x v="3"/>
    <n v="74135"/>
    <x v="287"/>
    <s v="Low"/>
    <s v="Phone"/>
  </r>
  <r>
    <n v="289"/>
    <x v="0"/>
    <x v="0"/>
    <x v="0"/>
    <x v="6"/>
    <n v="181155"/>
    <x v="288"/>
    <s v="High"/>
    <s v="Laptop"/>
  </r>
  <r>
    <n v="290"/>
    <x v="1"/>
    <x v="3"/>
    <x v="2"/>
    <x v="5"/>
    <n v="80677"/>
    <x v="289"/>
    <s v="Low"/>
    <s v="Phone"/>
  </r>
  <r>
    <n v="291"/>
    <x v="1"/>
    <x v="3"/>
    <x v="1"/>
    <x v="17"/>
    <n v="93997"/>
    <x v="290"/>
    <s v="High"/>
    <s v="Phone"/>
  </r>
  <r>
    <n v="292"/>
    <x v="1"/>
    <x v="7"/>
    <x v="3"/>
    <x v="1"/>
    <n v="60125"/>
    <x v="291"/>
    <s v="Low"/>
    <s v="Phone"/>
  </r>
  <r>
    <n v="293"/>
    <x v="1"/>
    <x v="4"/>
    <x v="1"/>
    <x v="0"/>
    <n v="66570"/>
    <x v="292"/>
    <s v="Low"/>
    <s v="Phone"/>
  </r>
  <r>
    <n v="294"/>
    <x v="2"/>
    <x v="5"/>
    <x v="1"/>
    <x v="11"/>
    <n v="41969"/>
    <x v="293"/>
    <s v="Low"/>
    <s v="Tablet"/>
  </r>
  <r>
    <n v="295"/>
    <x v="0"/>
    <x v="2"/>
    <x v="3"/>
    <x v="16"/>
    <n v="244268"/>
    <x v="294"/>
    <s v="Low"/>
    <s v="Laptop"/>
  </r>
  <r>
    <n v="296"/>
    <x v="0"/>
    <x v="2"/>
    <x v="2"/>
    <x v="0"/>
    <n v="236649"/>
    <x v="295"/>
    <s v="High"/>
    <s v="Laptop"/>
  </r>
  <r>
    <n v="297"/>
    <x v="2"/>
    <x v="8"/>
    <x v="4"/>
    <x v="6"/>
    <n v="55504"/>
    <x v="296"/>
    <s v="Low"/>
    <s v="Tablet"/>
  </r>
  <r>
    <n v="298"/>
    <x v="0"/>
    <x v="0"/>
    <x v="3"/>
    <x v="13"/>
    <n v="169134"/>
    <x v="297"/>
    <s v="High"/>
    <s v="Laptop"/>
  </r>
  <r>
    <n v="299"/>
    <x v="1"/>
    <x v="3"/>
    <x v="4"/>
    <x v="2"/>
    <n v="97873"/>
    <x v="298"/>
    <s v="Low"/>
    <s v="Phone"/>
  </r>
  <r>
    <n v="300"/>
    <x v="1"/>
    <x v="3"/>
    <x v="3"/>
    <x v="9"/>
    <n v="66924"/>
    <x v="299"/>
    <s v="High"/>
    <s v="Phone"/>
  </r>
  <r>
    <n v="301"/>
    <x v="0"/>
    <x v="0"/>
    <x v="1"/>
    <x v="1"/>
    <n v="119165"/>
    <x v="300"/>
    <s v="High"/>
    <s v="Laptop"/>
  </r>
  <r>
    <n v="302"/>
    <x v="2"/>
    <x v="5"/>
    <x v="4"/>
    <x v="18"/>
    <n v="47761"/>
    <x v="301"/>
    <s v="Low"/>
    <s v="Tablet"/>
  </r>
  <r>
    <n v="303"/>
    <x v="0"/>
    <x v="1"/>
    <x v="4"/>
    <x v="11"/>
    <n v="222439"/>
    <x v="302"/>
    <s v="High"/>
    <s v="Laptop"/>
  </r>
  <r>
    <n v="304"/>
    <x v="1"/>
    <x v="4"/>
    <x v="3"/>
    <x v="16"/>
    <n v="87723"/>
    <x v="303"/>
    <s v="Low"/>
    <s v="Phone"/>
  </r>
  <r>
    <n v="305"/>
    <x v="0"/>
    <x v="0"/>
    <x v="2"/>
    <x v="16"/>
    <n v="183680"/>
    <x v="304"/>
    <s v="Low"/>
    <s v="Laptop"/>
  </r>
  <r>
    <n v="306"/>
    <x v="2"/>
    <x v="8"/>
    <x v="4"/>
    <x v="1"/>
    <n v="51207"/>
    <x v="305"/>
    <s v="Low"/>
    <s v="Tablet"/>
  </r>
  <r>
    <n v="307"/>
    <x v="0"/>
    <x v="0"/>
    <x v="3"/>
    <x v="10"/>
    <n v="121348"/>
    <x v="306"/>
    <s v="Low"/>
    <s v="Laptop"/>
  </r>
  <r>
    <n v="308"/>
    <x v="2"/>
    <x v="6"/>
    <x v="3"/>
    <x v="3"/>
    <n v="56353"/>
    <x v="307"/>
    <s v="Low"/>
    <s v="Tablet"/>
  </r>
  <r>
    <n v="309"/>
    <x v="0"/>
    <x v="1"/>
    <x v="2"/>
    <x v="1"/>
    <n v="248059"/>
    <x v="308"/>
    <s v="High"/>
    <s v="Laptop"/>
  </r>
  <r>
    <n v="310"/>
    <x v="0"/>
    <x v="0"/>
    <x v="3"/>
    <x v="1"/>
    <n v="149182"/>
    <x v="309"/>
    <s v="High"/>
    <s v="Laptop"/>
  </r>
  <r>
    <n v="311"/>
    <x v="0"/>
    <x v="0"/>
    <x v="1"/>
    <x v="8"/>
    <n v="200350"/>
    <x v="310"/>
    <s v="Low"/>
    <s v="Laptop"/>
  </r>
  <r>
    <n v="312"/>
    <x v="1"/>
    <x v="3"/>
    <x v="1"/>
    <x v="14"/>
    <n v="106881"/>
    <x v="311"/>
    <s v="High"/>
    <s v="Phone"/>
  </r>
  <r>
    <n v="313"/>
    <x v="1"/>
    <x v="7"/>
    <x v="0"/>
    <x v="0"/>
    <n v="73467"/>
    <x v="312"/>
    <s v="High"/>
    <s v="Phone"/>
  </r>
  <r>
    <n v="314"/>
    <x v="2"/>
    <x v="8"/>
    <x v="0"/>
    <x v="2"/>
    <n v="83596"/>
    <x v="313"/>
    <s v="Low"/>
    <s v="Tablet"/>
  </r>
  <r>
    <n v="315"/>
    <x v="1"/>
    <x v="7"/>
    <x v="4"/>
    <x v="1"/>
    <n v="94054"/>
    <x v="314"/>
    <s v="High"/>
    <s v="Phone"/>
  </r>
  <r>
    <n v="316"/>
    <x v="2"/>
    <x v="6"/>
    <x v="1"/>
    <x v="4"/>
    <n v="64611"/>
    <x v="315"/>
    <s v="Low"/>
    <s v="Tablet"/>
  </r>
  <r>
    <n v="317"/>
    <x v="2"/>
    <x v="5"/>
    <x v="0"/>
    <x v="16"/>
    <n v="45495"/>
    <x v="316"/>
    <s v="Low"/>
    <s v="Tablet"/>
  </r>
  <r>
    <n v="318"/>
    <x v="0"/>
    <x v="1"/>
    <x v="4"/>
    <x v="11"/>
    <n v="230507"/>
    <x v="317"/>
    <s v="High"/>
    <s v="Laptop"/>
  </r>
  <r>
    <n v="319"/>
    <x v="2"/>
    <x v="6"/>
    <x v="0"/>
    <x v="0"/>
    <n v="50617"/>
    <x v="318"/>
    <s v="Low"/>
    <s v="Tablet"/>
  </r>
  <r>
    <n v="320"/>
    <x v="1"/>
    <x v="7"/>
    <x v="2"/>
    <x v="15"/>
    <n v="114851"/>
    <x v="319"/>
    <s v="Low"/>
    <s v="Phone"/>
  </r>
  <r>
    <n v="321"/>
    <x v="0"/>
    <x v="2"/>
    <x v="4"/>
    <x v="6"/>
    <n v="217556"/>
    <x v="320"/>
    <s v="High"/>
    <s v="Laptop"/>
  </r>
  <r>
    <n v="322"/>
    <x v="0"/>
    <x v="2"/>
    <x v="3"/>
    <x v="16"/>
    <n v="139104"/>
    <x v="321"/>
    <s v="Low"/>
    <s v="Laptop"/>
  </r>
  <r>
    <n v="323"/>
    <x v="0"/>
    <x v="1"/>
    <x v="4"/>
    <x v="7"/>
    <n v="147993"/>
    <x v="322"/>
    <s v="High"/>
    <s v="Laptop"/>
  </r>
  <r>
    <n v="324"/>
    <x v="2"/>
    <x v="6"/>
    <x v="3"/>
    <x v="2"/>
    <n v="86882"/>
    <x v="323"/>
    <s v="Low"/>
    <s v="Tablet"/>
  </r>
  <r>
    <n v="325"/>
    <x v="2"/>
    <x v="5"/>
    <x v="4"/>
    <x v="4"/>
    <n v="63164"/>
    <x v="324"/>
    <s v="Low"/>
    <s v="Tablet"/>
  </r>
  <r>
    <n v="326"/>
    <x v="1"/>
    <x v="4"/>
    <x v="0"/>
    <x v="7"/>
    <n v="104311"/>
    <x v="325"/>
    <s v="Low"/>
    <s v="Phone"/>
  </r>
  <r>
    <n v="327"/>
    <x v="2"/>
    <x v="8"/>
    <x v="3"/>
    <x v="7"/>
    <n v="94253"/>
    <x v="326"/>
    <s v="Low"/>
    <s v="Tablet"/>
  </r>
  <r>
    <n v="328"/>
    <x v="1"/>
    <x v="4"/>
    <x v="4"/>
    <x v="12"/>
    <n v="91367"/>
    <x v="327"/>
    <s v="Low"/>
    <s v="Phone"/>
  </r>
  <r>
    <n v="329"/>
    <x v="0"/>
    <x v="0"/>
    <x v="1"/>
    <x v="17"/>
    <n v="100756"/>
    <x v="328"/>
    <s v="High"/>
    <s v="Laptop"/>
  </r>
  <r>
    <n v="330"/>
    <x v="0"/>
    <x v="0"/>
    <x v="1"/>
    <x v="10"/>
    <n v="163794"/>
    <x v="329"/>
    <s v="High"/>
    <s v="Laptop"/>
  </r>
  <r>
    <n v="331"/>
    <x v="1"/>
    <x v="7"/>
    <x v="1"/>
    <x v="5"/>
    <n v="68533"/>
    <x v="330"/>
    <s v="Low"/>
    <s v="Phone"/>
  </r>
  <r>
    <n v="332"/>
    <x v="2"/>
    <x v="8"/>
    <x v="1"/>
    <x v="17"/>
    <n v="99745"/>
    <x v="331"/>
    <s v="High"/>
    <s v="Tablet"/>
  </r>
  <r>
    <n v="333"/>
    <x v="2"/>
    <x v="8"/>
    <x v="4"/>
    <x v="8"/>
    <n v="82828"/>
    <x v="332"/>
    <s v="Low"/>
    <s v="Tablet"/>
  </r>
  <r>
    <n v="334"/>
    <x v="0"/>
    <x v="2"/>
    <x v="1"/>
    <x v="9"/>
    <n v="136479"/>
    <x v="333"/>
    <s v="High"/>
    <s v="Laptop"/>
  </r>
  <r>
    <n v="335"/>
    <x v="0"/>
    <x v="2"/>
    <x v="3"/>
    <x v="11"/>
    <n v="138231"/>
    <x v="334"/>
    <s v="High"/>
    <s v="Laptop"/>
  </r>
  <r>
    <n v="336"/>
    <x v="1"/>
    <x v="3"/>
    <x v="4"/>
    <x v="18"/>
    <n v="115701"/>
    <x v="335"/>
    <s v="Low"/>
    <s v="Phone"/>
  </r>
  <r>
    <n v="337"/>
    <x v="1"/>
    <x v="7"/>
    <x v="4"/>
    <x v="2"/>
    <n v="119900"/>
    <x v="336"/>
    <s v="Low"/>
    <s v="Phone"/>
  </r>
  <r>
    <n v="338"/>
    <x v="0"/>
    <x v="2"/>
    <x v="2"/>
    <x v="11"/>
    <n v="125585"/>
    <x v="337"/>
    <s v="High"/>
    <s v="Laptop"/>
  </r>
  <r>
    <n v="339"/>
    <x v="1"/>
    <x v="3"/>
    <x v="1"/>
    <x v="16"/>
    <n v="115114"/>
    <x v="338"/>
    <s v="Low"/>
    <s v="Phone"/>
  </r>
  <r>
    <n v="340"/>
    <x v="2"/>
    <x v="5"/>
    <x v="1"/>
    <x v="18"/>
    <n v="64981"/>
    <x v="339"/>
    <s v="Low"/>
    <s v="Tablet"/>
  </r>
  <r>
    <n v="341"/>
    <x v="1"/>
    <x v="7"/>
    <x v="0"/>
    <x v="3"/>
    <n v="91982"/>
    <x v="340"/>
    <s v="High"/>
    <s v="Phone"/>
  </r>
  <r>
    <n v="342"/>
    <x v="1"/>
    <x v="4"/>
    <x v="1"/>
    <x v="4"/>
    <n v="67629"/>
    <x v="341"/>
    <s v="Low"/>
    <s v="Phone"/>
  </r>
  <r>
    <n v="343"/>
    <x v="2"/>
    <x v="6"/>
    <x v="2"/>
    <x v="0"/>
    <n v="64226"/>
    <x v="342"/>
    <s v="Low"/>
    <s v="Tablet"/>
  </r>
  <r>
    <n v="344"/>
    <x v="2"/>
    <x v="5"/>
    <x v="0"/>
    <x v="6"/>
    <n v="78675"/>
    <x v="343"/>
    <s v="High"/>
    <s v="Tablet"/>
  </r>
  <r>
    <n v="345"/>
    <x v="1"/>
    <x v="3"/>
    <x v="4"/>
    <x v="16"/>
    <n v="113411"/>
    <x v="344"/>
    <s v="Low"/>
    <s v="Phone"/>
  </r>
  <r>
    <n v="346"/>
    <x v="2"/>
    <x v="8"/>
    <x v="2"/>
    <x v="13"/>
    <n v="88563"/>
    <x v="345"/>
    <s v="High"/>
    <s v="Tablet"/>
  </r>
  <r>
    <n v="347"/>
    <x v="1"/>
    <x v="7"/>
    <x v="0"/>
    <x v="11"/>
    <n v="108244"/>
    <x v="346"/>
    <s v="High"/>
    <s v="Phone"/>
  </r>
  <r>
    <n v="348"/>
    <x v="1"/>
    <x v="4"/>
    <x v="1"/>
    <x v="8"/>
    <n v="100108"/>
    <x v="347"/>
    <s v="Low"/>
    <s v="Phone"/>
  </r>
  <r>
    <n v="349"/>
    <x v="1"/>
    <x v="4"/>
    <x v="3"/>
    <x v="13"/>
    <n v="88179"/>
    <x v="348"/>
    <s v="High"/>
    <s v="Phone"/>
  </r>
  <r>
    <n v="350"/>
    <x v="0"/>
    <x v="2"/>
    <x v="3"/>
    <x v="2"/>
    <n v="129922"/>
    <x v="349"/>
    <s v="Low"/>
    <s v="Laptop"/>
  </r>
  <r>
    <n v="351"/>
    <x v="0"/>
    <x v="2"/>
    <x v="4"/>
    <x v="4"/>
    <n v="209863"/>
    <x v="350"/>
    <s v="High"/>
    <s v="Laptop"/>
  </r>
  <r>
    <n v="352"/>
    <x v="0"/>
    <x v="1"/>
    <x v="2"/>
    <x v="12"/>
    <n v="118141"/>
    <x v="351"/>
    <s v="High"/>
    <s v="Laptop"/>
  </r>
  <r>
    <n v="353"/>
    <x v="0"/>
    <x v="0"/>
    <x v="4"/>
    <x v="8"/>
    <n v="144823"/>
    <x v="352"/>
    <s v="Low"/>
    <s v="Laptop"/>
  </r>
  <r>
    <n v="354"/>
    <x v="1"/>
    <x v="4"/>
    <x v="3"/>
    <x v="8"/>
    <n v="72411"/>
    <x v="353"/>
    <s v="Low"/>
    <s v="Phone"/>
  </r>
  <r>
    <n v="355"/>
    <x v="0"/>
    <x v="2"/>
    <x v="3"/>
    <x v="5"/>
    <n v="116715"/>
    <x v="354"/>
    <s v="Low"/>
    <s v="Laptop"/>
  </r>
  <r>
    <n v="356"/>
    <x v="1"/>
    <x v="7"/>
    <x v="3"/>
    <x v="15"/>
    <n v="64481"/>
    <x v="355"/>
    <s v="Low"/>
    <s v="Phone"/>
  </r>
  <r>
    <n v="357"/>
    <x v="2"/>
    <x v="5"/>
    <x v="3"/>
    <x v="7"/>
    <n v="70784"/>
    <x v="356"/>
    <s v="Low"/>
    <s v="Tablet"/>
  </r>
  <r>
    <n v="358"/>
    <x v="2"/>
    <x v="8"/>
    <x v="3"/>
    <x v="11"/>
    <n v="56052"/>
    <x v="357"/>
    <s v="Low"/>
    <s v="Tablet"/>
  </r>
  <r>
    <n v="359"/>
    <x v="1"/>
    <x v="3"/>
    <x v="3"/>
    <x v="5"/>
    <n v="113744"/>
    <x v="358"/>
    <s v="Low"/>
    <s v="Phone"/>
  </r>
  <r>
    <n v="360"/>
    <x v="0"/>
    <x v="0"/>
    <x v="2"/>
    <x v="8"/>
    <n v="111223"/>
    <x v="359"/>
    <s v="Low"/>
    <s v="Laptop"/>
  </r>
  <r>
    <n v="361"/>
    <x v="1"/>
    <x v="3"/>
    <x v="4"/>
    <x v="18"/>
    <n v="119945"/>
    <x v="360"/>
    <s v="Low"/>
    <s v="Phone"/>
  </r>
  <r>
    <n v="362"/>
    <x v="1"/>
    <x v="3"/>
    <x v="3"/>
    <x v="12"/>
    <n v="99040"/>
    <x v="361"/>
    <s v="Low"/>
    <s v="Phone"/>
  </r>
  <r>
    <n v="363"/>
    <x v="1"/>
    <x v="7"/>
    <x v="3"/>
    <x v="6"/>
    <n v="80281"/>
    <x v="362"/>
    <s v="High"/>
    <s v="Phone"/>
  </r>
  <r>
    <n v="364"/>
    <x v="0"/>
    <x v="1"/>
    <x v="4"/>
    <x v="2"/>
    <n v="141399"/>
    <x v="363"/>
    <s v="Low"/>
    <s v="Laptop"/>
  </r>
  <r>
    <n v="365"/>
    <x v="0"/>
    <x v="0"/>
    <x v="1"/>
    <x v="11"/>
    <n v="120111"/>
    <x v="364"/>
    <s v="High"/>
    <s v="Laptop"/>
  </r>
  <r>
    <n v="366"/>
    <x v="1"/>
    <x v="4"/>
    <x v="2"/>
    <x v="15"/>
    <n v="101991"/>
    <x v="365"/>
    <s v="Low"/>
    <s v="Phone"/>
  </r>
  <r>
    <n v="367"/>
    <x v="1"/>
    <x v="3"/>
    <x v="4"/>
    <x v="14"/>
    <n v="117751"/>
    <x v="366"/>
    <s v="High"/>
    <s v="Phone"/>
  </r>
  <r>
    <n v="368"/>
    <x v="1"/>
    <x v="3"/>
    <x v="1"/>
    <x v="10"/>
    <n v="104857"/>
    <x v="367"/>
    <s v="Low"/>
    <s v="Phone"/>
  </r>
  <r>
    <n v="369"/>
    <x v="0"/>
    <x v="1"/>
    <x v="2"/>
    <x v="14"/>
    <n v="154027"/>
    <x v="368"/>
    <s v="High"/>
    <s v="Laptop"/>
  </r>
  <r>
    <n v="370"/>
    <x v="0"/>
    <x v="2"/>
    <x v="0"/>
    <x v="15"/>
    <n v="214917"/>
    <x v="369"/>
    <s v="High"/>
    <s v="Laptop"/>
  </r>
  <r>
    <n v="371"/>
    <x v="2"/>
    <x v="5"/>
    <x v="4"/>
    <x v="9"/>
    <n v="63888"/>
    <x v="370"/>
    <s v="High"/>
    <s v="Tablet"/>
  </r>
  <r>
    <n v="372"/>
    <x v="1"/>
    <x v="7"/>
    <x v="1"/>
    <x v="0"/>
    <n v="85538"/>
    <x v="371"/>
    <s v="High"/>
    <s v="Phone"/>
  </r>
  <r>
    <n v="373"/>
    <x v="2"/>
    <x v="6"/>
    <x v="0"/>
    <x v="12"/>
    <n v="97721"/>
    <x v="372"/>
    <s v="Low"/>
    <s v="Tablet"/>
  </r>
  <r>
    <n v="374"/>
    <x v="2"/>
    <x v="6"/>
    <x v="3"/>
    <x v="8"/>
    <n v="45978"/>
    <x v="373"/>
    <s v="Low"/>
    <s v="Tablet"/>
  </r>
  <r>
    <n v="375"/>
    <x v="1"/>
    <x v="4"/>
    <x v="4"/>
    <x v="9"/>
    <n v="69503"/>
    <x v="374"/>
    <s v="High"/>
    <s v="Phone"/>
  </r>
  <r>
    <n v="376"/>
    <x v="2"/>
    <x v="5"/>
    <x v="1"/>
    <x v="12"/>
    <n v="44583"/>
    <x v="375"/>
    <s v="Low"/>
    <s v="Tablet"/>
  </r>
  <r>
    <n v="377"/>
    <x v="2"/>
    <x v="6"/>
    <x v="1"/>
    <x v="6"/>
    <n v="52275"/>
    <x v="376"/>
    <s v="Low"/>
    <s v="Tablet"/>
  </r>
  <r>
    <n v="378"/>
    <x v="1"/>
    <x v="4"/>
    <x v="0"/>
    <x v="13"/>
    <n v="78544"/>
    <x v="377"/>
    <s v="High"/>
    <s v="Phone"/>
  </r>
  <r>
    <n v="379"/>
    <x v="2"/>
    <x v="5"/>
    <x v="0"/>
    <x v="7"/>
    <n v="77643"/>
    <x v="378"/>
    <s v="Low"/>
    <s v="Tablet"/>
  </r>
  <r>
    <n v="380"/>
    <x v="1"/>
    <x v="3"/>
    <x v="1"/>
    <x v="10"/>
    <n v="93069"/>
    <x v="379"/>
    <s v="Low"/>
    <s v="Phone"/>
  </r>
  <r>
    <n v="381"/>
    <x v="0"/>
    <x v="2"/>
    <x v="3"/>
    <x v="1"/>
    <n v="113387"/>
    <x v="380"/>
    <s v="High"/>
    <s v="Laptop"/>
  </r>
  <r>
    <n v="382"/>
    <x v="1"/>
    <x v="7"/>
    <x v="2"/>
    <x v="2"/>
    <n v="105268"/>
    <x v="381"/>
    <s v="Low"/>
    <s v="Phone"/>
  </r>
  <r>
    <n v="383"/>
    <x v="2"/>
    <x v="5"/>
    <x v="1"/>
    <x v="0"/>
    <n v="86486"/>
    <x v="382"/>
    <s v="High"/>
    <s v="Tablet"/>
  </r>
  <r>
    <n v="384"/>
    <x v="1"/>
    <x v="7"/>
    <x v="2"/>
    <x v="1"/>
    <n v="87044"/>
    <x v="383"/>
    <s v="Low"/>
    <s v="Phone"/>
  </r>
  <r>
    <n v="385"/>
    <x v="0"/>
    <x v="2"/>
    <x v="1"/>
    <x v="14"/>
    <n v="119725"/>
    <x v="384"/>
    <s v="High"/>
    <s v="Laptop"/>
  </r>
  <r>
    <n v="386"/>
    <x v="0"/>
    <x v="0"/>
    <x v="0"/>
    <x v="15"/>
    <n v="131321"/>
    <x v="385"/>
    <s v="Low"/>
    <s v="Laptop"/>
  </r>
  <r>
    <n v="387"/>
    <x v="1"/>
    <x v="3"/>
    <x v="0"/>
    <x v="5"/>
    <n v="76832"/>
    <x v="386"/>
    <s v="Low"/>
    <s v="Phone"/>
  </r>
  <r>
    <n v="388"/>
    <x v="2"/>
    <x v="5"/>
    <x v="2"/>
    <x v="4"/>
    <n v="76735"/>
    <x v="387"/>
    <s v="Low"/>
    <s v="Tablet"/>
  </r>
  <r>
    <n v="389"/>
    <x v="0"/>
    <x v="2"/>
    <x v="1"/>
    <x v="12"/>
    <n v="207235"/>
    <x v="388"/>
    <s v="High"/>
    <s v="Laptop"/>
  </r>
  <r>
    <n v="390"/>
    <x v="2"/>
    <x v="8"/>
    <x v="0"/>
    <x v="3"/>
    <n v="90189"/>
    <x v="389"/>
    <s v="High"/>
    <s v="Tablet"/>
  </r>
  <r>
    <n v="391"/>
    <x v="1"/>
    <x v="3"/>
    <x v="2"/>
    <x v="1"/>
    <n v="96751"/>
    <x v="390"/>
    <s v="High"/>
    <s v="Phone"/>
  </r>
  <r>
    <n v="392"/>
    <x v="1"/>
    <x v="7"/>
    <x v="0"/>
    <x v="8"/>
    <n v="69596"/>
    <x v="391"/>
    <s v="Low"/>
    <s v="Phone"/>
  </r>
  <r>
    <n v="393"/>
    <x v="2"/>
    <x v="5"/>
    <x v="3"/>
    <x v="15"/>
    <n v="78356"/>
    <x v="392"/>
    <s v="Low"/>
    <s v="Tablet"/>
  </r>
  <r>
    <n v="394"/>
    <x v="2"/>
    <x v="8"/>
    <x v="4"/>
    <x v="13"/>
    <n v="73848"/>
    <x v="393"/>
    <s v="High"/>
    <s v="Tablet"/>
  </r>
  <r>
    <n v="395"/>
    <x v="0"/>
    <x v="1"/>
    <x v="3"/>
    <x v="8"/>
    <n v="159122"/>
    <x v="394"/>
    <s v="Low"/>
    <s v="Laptop"/>
  </r>
  <r>
    <n v="396"/>
    <x v="2"/>
    <x v="5"/>
    <x v="0"/>
    <x v="8"/>
    <n v="51005"/>
    <x v="395"/>
    <s v="Low"/>
    <s v="Tablet"/>
  </r>
  <r>
    <n v="397"/>
    <x v="2"/>
    <x v="8"/>
    <x v="2"/>
    <x v="14"/>
    <n v="83922"/>
    <x v="396"/>
    <s v="High"/>
    <s v="Tablet"/>
  </r>
  <r>
    <n v="398"/>
    <x v="2"/>
    <x v="6"/>
    <x v="1"/>
    <x v="3"/>
    <n v="61817"/>
    <x v="397"/>
    <s v="Low"/>
    <s v="Tablet"/>
  </r>
  <r>
    <n v="399"/>
    <x v="0"/>
    <x v="0"/>
    <x v="4"/>
    <x v="8"/>
    <n v="227328"/>
    <x v="398"/>
    <s v="Low"/>
    <s v="Laptop"/>
  </r>
  <r>
    <n v="400"/>
    <x v="2"/>
    <x v="5"/>
    <x v="2"/>
    <x v="17"/>
    <n v="65051"/>
    <x v="399"/>
    <s v="High"/>
    <s v="Tablet"/>
  </r>
  <r>
    <n v="401"/>
    <x v="1"/>
    <x v="7"/>
    <x v="1"/>
    <x v="11"/>
    <n v="72448"/>
    <x v="400"/>
    <s v="Low"/>
    <s v="Phone"/>
  </r>
  <r>
    <n v="402"/>
    <x v="0"/>
    <x v="1"/>
    <x v="1"/>
    <x v="0"/>
    <n v="174045"/>
    <x v="401"/>
    <s v="High"/>
    <s v="Laptop"/>
  </r>
  <r>
    <n v="403"/>
    <x v="0"/>
    <x v="1"/>
    <x v="1"/>
    <x v="12"/>
    <n v="210312"/>
    <x v="402"/>
    <s v="High"/>
    <s v="Laptop"/>
  </r>
  <r>
    <n v="404"/>
    <x v="1"/>
    <x v="7"/>
    <x v="3"/>
    <x v="6"/>
    <n v="106850"/>
    <x v="403"/>
    <s v="High"/>
    <s v="Phone"/>
  </r>
  <r>
    <n v="405"/>
    <x v="2"/>
    <x v="6"/>
    <x v="2"/>
    <x v="11"/>
    <n v="63284"/>
    <x v="404"/>
    <s v="Low"/>
    <s v="Tablet"/>
  </r>
  <r>
    <n v="406"/>
    <x v="2"/>
    <x v="8"/>
    <x v="1"/>
    <x v="14"/>
    <n v="47999"/>
    <x v="405"/>
    <s v="Low"/>
    <s v="Tablet"/>
  </r>
  <r>
    <n v="407"/>
    <x v="1"/>
    <x v="3"/>
    <x v="0"/>
    <x v="4"/>
    <n v="85279"/>
    <x v="406"/>
    <s v="Low"/>
    <s v="Phone"/>
  </r>
  <r>
    <n v="408"/>
    <x v="2"/>
    <x v="5"/>
    <x v="4"/>
    <x v="7"/>
    <n v="92130"/>
    <x v="407"/>
    <s v="Low"/>
    <s v="Tablet"/>
  </r>
  <r>
    <n v="409"/>
    <x v="2"/>
    <x v="6"/>
    <x v="1"/>
    <x v="13"/>
    <n v="47531"/>
    <x v="408"/>
    <s v="Low"/>
    <s v="Tablet"/>
  </r>
  <r>
    <n v="410"/>
    <x v="1"/>
    <x v="3"/>
    <x v="1"/>
    <x v="3"/>
    <n v="97481"/>
    <x v="409"/>
    <s v="High"/>
    <s v="Phone"/>
  </r>
  <r>
    <n v="411"/>
    <x v="0"/>
    <x v="1"/>
    <x v="4"/>
    <x v="13"/>
    <n v="230905"/>
    <x v="410"/>
    <s v="High"/>
    <s v="Laptop"/>
  </r>
  <r>
    <n v="412"/>
    <x v="1"/>
    <x v="7"/>
    <x v="2"/>
    <x v="3"/>
    <n v="101800"/>
    <x v="411"/>
    <s v="High"/>
    <s v="Phone"/>
  </r>
  <r>
    <n v="413"/>
    <x v="2"/>
    <x v="8"/>
    <x v="0"/>
    <x v="1"/>
    <n v="55892"/>
    <x v="412"/>
    <s v="Low"/>
    <s v="Tablet"/>
  </r>
  <r>
    <n v="414"/>
    <x v="1"/>
    <x v="4"/>
    <x v="2"/>
    <x v="7"/>
    <n v="91358"/>
    <x v="413"/>
    <s v="Low"/>
    <s v="Phone"/>
  </r>
  <r>
    <n v="415"/>
    <x v="0"/>
    <x v="1"/>
    <x v="4"/>
    <x v="4"/>
    <n v="201487"/>
    <x v="414"/>
    <s v="High"/>
    <s v="Laptop"/>
  </r>
  <r>
    <n v="416"/>
    <x v="1"/>
    <x v="7"/>
    <x v="4"/>
    <x v="6"/>
    <n v="88228"/>
    <x v="415"/>
    <s v="High"/>
    <s v="Phone"/>
  </r>
  <r>
    <n v="417"/>
    <x v="0"/>
    <x v="1"/>
    <x v="4"/>
    <x v="3"/>
    <n v="180536"/>
    <x v="416"/>
    <s v="High"/>
    <s v="Laptop"/>
  </r>
  <r>
    <n v="418"/>
    <x v="2"/>
    <x v="6"/>
    <x v="4"/>
    <x v="8"/>
    <n v="63017"/>
    <x v="417"/>
    <s v="Low"/>
    <s v="Tablet"/>
  </r>
  <r>
    <n v="419"/>
    <x v="1"/>
    <x v="3"/>
    <x v="4"/>
    <x v="2"/>
    <n v="66171"/>
    <x v="418"/>
    <s v="Low"/>
    <s v="Phone"/>
  </r>
  <r>
    <n v="420"/>
    <x v="0"/>
    <x v="2"/>
    <x v="0"/>
    <x v="17"/>
    <n v="140669"/>
    <x v="419"/>
    <s v="High"/>
    <s v="Laptop"/>
  </r>
  <r>
    <n v="421"/>
    <x v="1"/>
    <x v="7"/>
    <x v="0"/>
    <x v="15"/>
    <n v="77921"/>
    <x v="420"/>
    <s v="Low"/>
    <s v="Phone"/>
  </r>
  <r>
    <n v="422"/>
    <x v="2"/>
    <x v="8"/>
    <x v="1"/>
    <x v="9"/>
    <n v="52722"/>
    <x v="421"/>
    <s v="Low"/>
    <s v="Tablet"/>
  </r>
  <r>
    <n v="423"/>
    <x v="0"/>
    <x v="2"/>
    <x v="4"/>
    <x v="4"/>
    <n v="190158"/>
    <x v="422"/>
    <s v="High"/>
    <s v="Laptop"/>
  </r>
  <r>
    <n v="424"/>
    <x v="0"/>
    <x v="0"/>
    <x v="3"/>
    <x v="8"/>
    <n v="95774"/>
    <x v="423"/>
    <s v="Low"/>
    <s v="Laptop"/>
  </r>
  <r>
    <n v="425"/>
    <x v="0"/>
    <x v="2"/>
    <x v="0"/>
    <x v="13"/>
    <n v="117624"/>
    <x v="424"/>
    <s v="High"/>
    <s v="Laptop"/>
  </r>
  <r>
    <n v="426"/>
    <x v="2"/>
    <x v="6"/>
    <x v="2"/>
    <x v="2"/>
    <n v="62263"/>
    <x v="425"/>
    <s v="Low"/>
    <s v="Tablet"/>
  </r>
  <r>
    <n v="427"/>
    <x v="1"/>
    <x v="7"/>
    <x v="4"/>
    <x v="5"/>
    <n v="81253"/>
    <x v="426"/>
    <s v="Low"/>
    <s v="Phone"/>
  </r>
  <r>
    <n v="428"/>
    <x v="0"/>
    <x v="2"/>
    <x v="1"/>
    <x v="1"/>
    <n v="223623"/>
    <x v="427"/>
    <s v="High"/>
    <s v="Laptop"/>
  </r>
  <r>
    <n v="429"/>
    <x v="2"/>
    <x v="6"/>
    <x v="4"/>
    <x v="8"/>
    <n v="47239"/>
    <x v="428"/>
    <s v="Low"/>
    <s v="Tablet"/>
  </r>
  <r>
    <n v="430"/>
    <x v="0"/>
    <x v="1"/>
    <x v="1"/>
    <x v="9"/>
    <n v="228043"/>
    <x v="429"/>
    <s v="High"/>
    <s v="Laptop"/>
  </r>
  <r>
    <n v="431"/>
    <x v="2"/>
    <x v="8"/>
    <x v="2"/>
    <x v="7"/>
    <n v="46530"/>
    <x v="430"/>
    <s v="Low"/>
    <s v="Tablet"/>
  </r>
  <r>
    <n v="432"/>
    <x v="0"/>
    <x v="2"/>
    <x v="1"/>
    <x v="1"/>
    <n v="199472"/>
    <x v="431"/>
    <s v="High"/>
    <s v="Laptop"/>
  </r>
  <r>
    <n v="433"/>
    <x v="1"/>
    <x v="4"/>
    <x v="2"/>
    <x v="10"/>
    <n v="93380"/>
    <x v="432"/>
    <s v="Low"/>
    <s v="Phone"/>
  </r>
  <r>
    <n v="434"/>
    <x v="1"/>
    <x v="7"/>
    <x v="4"/>
    <x v="18"/>
    <n v="115661"/>
    <x v="433"/>
    <s v="Low"/>
    <s v="Phone"/>
  </r>
  <r>
    <n v="435"/>
    <x v="0"/>
    <x v="2"/>
    <x v="3"/>
    <x v="9"/>
    <n v="121852"/>
    <x v="434"/>
    <s v="High"/>
    <s v="Laptop"/>
  </r>
  <r>
    <n v="436"/>
    <x v="1"/>
    <x v="7"/>
    <x v="0"/>
    <x v="11"/>
    <n v="116481"/>
    <x v="435"/>
    <s v="High"/>
    <s v="Phone"/>
  </r>
  <r>
    <n v="437"/>
    <x v="0"/>
    <x v="1"/>
    <x v="4"/>
    <x v="15"/>
    <n v="116819"/>
    <x v="436"/>
    <s v="Low"/>
    <s v="Laptop"/>
  </r>
  <r>
    <n v="438"/>
    <x v="2"/>
    <x v="8"/>
    <x v="4"/>
    <x v="15"/>
    <n v="55036"/>
    <x v="437"/>
    <s v="Low"/>
    <s v="Tablet"/>
  </r>
  <r>
    <n v="439"/>
    <x v="2"/>
    <x v="8"/>
    <x v="2"/>
    <x v="18"/>
    <n v="56299"/>
    <x v="438"/>
    <s v="Low"/>
    <s v="Tablet"/>
  </r>
  <r>
    <n v="440"/>
    <x v="2"/>
    <x v="5"/>
    <x v="0"/>
    <x v="3"/>
    <n v="58888"/>
    <x v="439"/>
    <s v="Low"/>
    <s v="Tablet"/>
  </r>
  <r>
    <n v="441"/>
    <x v="2"/>
    <x v="5"/>
    <x v="3"/>
    <x v="3"/>
    <n v="99165"/>
    <x v="440"/>
    <s v="High"/>
    <s v="Tablet"/>
  </r>
  <r>
    <n v="442"/>
    <x v="2"/>
    <x v="8"/>
    <x v="0"/>
    <x v="16"/>
    <n v="99042"/>
    <x v="441"/>
    <s v="Low"/>
    <s v="Tablet"/>
  </r>
  <r>
    <n v="443"/>
    <x v="1"/>
    <x v="4"/>
    <x v="4"/>
    <x v="0"/>
    <n v="89009"/>
    <x v="442"/>
    <s v="High"/>
    <s v="Phone"/>
  </r>
  <r>
    <n v="444"/>
    <x v="0"/>
    <x v="2"/>
    <x v="2"/>
    <x v="17"/>
    <n v="239130"/>
    <x v="443"/>
    <s v="High"/>
    <s v="Laptop"/>
  </r>
  <r>
    <n v="445"/>
    <x v="0"/>
    <x v="0"/>
    <x v="1"/>
    <x v="9"/>
    <n v="231559"/>
    <x v="444"/>
    <s v="High"/>
    <s v="Laptop"/>
  </r>
  <r>
    <n v="446"/>
    <x v="0"/>
    <x v="1"/>
    <x v="4"/>
    <x v="18"/>
    <n v="118795"/>
    <x v="445"/>
    <s v="Low"/>
    <s v="Laptop"/>
  </r>
  <r>
    <n v="447"/>
    <x v="0"/>
    <x v="1"/>
    <x v="3"/>
    <x v="5"/>
    <n v="177960"/>
    <x v="446"/>
    <s v="Low"/>
    <s v="Laptop"/>
  </r>
  <r>
    <n v="448"/>
    <x v="0"/>
    <x v="0"/>
    <x v="4"/>
    <x v="13"/>
    <n v="245024"/>
    <x v="447"/>
    <s v="High"/>
    <s v="Laptop"/>
  </r>
  <r>
    <n v="449"/>
    <x v="0"/>
    <x v="0"/>
    <x v="2"/>
    <x v="0"/>
    <n v="216688"/>
    <x v="448"/>
    <s v="High"/>
    <s v="Laptop"/>
  </r>
  <r>
    <n v="450"/>
    <x v="0"/>
    <x v="1"/>
    <x v="1"/>
    <x v="2"/>
    <n v="223669"/>
    <x v="449"/>
    <s v="Low"/>
    <s v="Laptop"/>
  </r>
  <r>
    <n v="451"/>
    <x v="1"/>
    <x v="7"/>
    <x v="2"/>
    <x v="5"/>
    <n v="106738"/>
    <x v="450"/>
    <s v="Low"/>
    <s v="Phone"/>
  </r>
  <r>
    <n v="452"/>
    <x v="1"/>
    <x v="3"/>
    <x v="4"/>
    <x v="10"/>
    <n v="83383"/>
    <x v="451"/>
    <s v="Low"/>
    <s v="Phone"/>
  </r>
  <r>
    <n v="453"/>
    <x v="0"/>
    <x v="2"/>
    <x v="4"/>
    <x v="14"/>
    <n v="242850"/>
    <x v="452"/>
    <s v="High"/>
    <s v="Laptop"/>
  </r>
  <r>
    <n v="454"/>
    <x v="1"/>
    <x v="4"/>
    <x v="1"/>
    <x v="13"/>
    <n v="67230"/>
    <x v="453"/>
    <s v="Low"/>
    <s v="Phone"/>
  </r>
  <r>
    <n v="455"/>
    <x v="0"/>
    <x v="0"/>
    <x v="3"/>
    <x v="14"/>
    <n v="225565"/>
    <x v="454"/>
    <s v="High"/>
    <s v="Laptop"/>
  </r>
  <r>
    <n v="456"/>
    <x v="1"/>
    <x v="3"/>
    <x v="1"/>
    <x v="12"/>
    <n v="119711"/>
    <x v="455"/>
    <s v="High"/>
    <s v="Phone"/>
  </r>
  <r>
    <n v="457"/>
    <x v="1"/>
    <x v="7"/>
    <x v="2"/>
    <x v="1"/>
    <n v="89492"/>
    <x v="456"/>
    <s v="Low"/>
    <s v="Phone"/>
  </r>
  <r>
    <n v="458"/>
    <x v="2"/>
    <x v="8"/>
    <x v="1"/>
    <x v="12"/>
    <n v="72762"/>
    <x v="457"/>
    <s v="Low"/>
    <s v="Tablet"/>
  </r>
  <r>
    <n v="459"/>
    <x v="2"/>
    <x v="6"/>
    <x v="3"/>
    <x v="13"/>
    <n v="92350"/>
    <x v="458"/>
    <s v="High"/>
    <s v="Tablet"/>
  </r>
  <r>
    <n v="460"/>
    <x v="2"/>
    <x v="6"/>
    <x v="0"/>
    <x v="9"/>
    <n v="99659"/>
    <x v="459"/>
    <s v="High"/>
    <s v="Tablet"/>
  </r>
  <r>
    <n v="461"/>
    <x v="1"/>
    <x v="4"/>
    <x v="2"/>
    <x v="15"/>
    <n v="73615"/>
    <x v="460"/>
    <s v="Low"/>
    <s v="Phone"/>
  </r>
  <r>
    <n v="462"/>
    <x v="1"/>
    <x v="3"/>
    <x v="2"/>
    <x v="12"/>
    <n v="79900"/>
    <x v="461"/>
    <s v="Low"/>
    <s v="Phone"/>
  </r>
  <r>
    <n v="463"/>
    <x v="1"/>
    <x v="7"/>
    <x v="1"/>
    <x v="16"/>
    <n v="106087"/>
    <x v="462"/>
    <s v="Low"/>
    <s v="Phone"/>
  </r>
  <r>
    <n v="464"/>
    <x v="2"/>
    <x v="8"/>
    <x v="1"/>
    <x v="0"/>
    <n v="82856"/>
    <x v="463"/>
    <s v="High"/>
    <s v="Tablet"/>
  </r>
  <r>
    <n v="465"/>
    <x v="1"/>
    <x v="7"/>
    <x v="4"/>
    <x v="10"/>
    <n v="74868"/>
    <x v="464"/>
    <s v="Low"/>
    <s v="Phone"/>
  </r>
  <r>
    <n v="466"/>
    <x v="1"/>
    <x v="4"/>
    <x v="3"/>
    <x v="8"/>
    <n v="78230"/>
    <x v="465"/>
    <s v="Low"/>
    <s v="Phone"/>
  </r>
  <r>
    <n v="467"/>
    <x v="0"/>
    <x v="2"/>
    <x v="2"/>
    <x v="3"/>
    <n v="107569"/>
    <x v="466"/>
    <s v="High"/>
    <s v="Laptop"/>
  </r>
  <r>
    <n v="468"/>
    <x v="0"/>
    <x v="0"/>
    <x v="4"/>
    <x v="16"/>
    <n v="130197"/>
    <x v="467"/>
    <s v="Low"/>
    <s v="Laptop"/>
  </r>
  <r>
    <n v="469"/>
    <x v="2"/>
    <x v="6"/>
    <x v="2"/>
    <x v="3"/>
    <n v="81689"/>
    <x v="468"/>
    <s v="Low"/>
    <s v="Tablet"/>
  </r>
  <r>
    <n v="470"/>
    <x v="2"/>
    <x v="6"/>
    <x v="2"/>
    <x v="11"/>
    <n v="69538"/>
    <x v="469"/>
    <s v="Low"/>
    <s v="Tablet"/>
  </r>
  <r>
    <n v="471"/>
    <x v="1"/>
    <x v="3"/>
    <x v="4"/>
    <x v="11"/>
    <n v="81180"/>
    <x v="470"/>
    <s v="High"/>
    <s v="Phone"/>
  </r>
  <r>
    <n v="472"/>
    <x v="2"/>
    <x v="5"/>
    <x v="3"/>
    <x v="16"/>
    <n v="70502"/>
    <x v="471"/>
    <s v="Low"/>
    <s v="Tablet"/>
  </r>
  <r>
    <n v="473"/>
    <x v="1"/>
    <x v="7"/>
    <x v="3"/>
    <x v="4"/>
    <n v="65482"/>
    <x v="472"/>
    <s v="Low"/>
    <s v="Phone"/>
  </r>
  <r>
    <n v="474"/>
    <x v="1"/>
    <x v="3"/>
    <x v="2"/>
    <x v="17"/>
    <n v="93623"/>
    <x v="473"/>
    <s v="High"/>
    <s v="Phone"/>
  </r>
  <r>
    <n v="475"/>
    <x v="0"/>
    <x v="1"/>
    <x v="2"/>
    <x v="12"/>
    <n v="112207"/>
    <x v="474"/>
    <s v="High"/>
    <s v="Laptop"/>
  </r>
  <r>
    <n v="476"/>
    <x v="2"/>
    <x v="5"/>
    <x v="3"/>
    <x v="1"/>
    <n v="99518"/>
    <x v="475"/>
    <s v="High"/>
    <s v="Tablet"/>
  </r>
  <r>
    <n v="477"/>
    <x v="1"/>
    <x v="4"/>
    <x v="3"/>
    <x v="3"/>
    <n v="105639"/>
    <x v="476"/>
    <s v="High"/>
    <s v="Phone"/>
  </r>
  <r>
    <n v="478"/>
    <x v="2"/>
    <x v="5"/>
    <x v="3"/>
    <x v="15"/>
    <n v="88280"/>
    <x v="477"/>
    <s v="Low"/>
    <s v="Tablet"/>
  </r>
  <r>
    <n v="479"/>
    <x v="0"/>
    <x v="1"/>
    <x v="0"/>
    <x v="17"/>
    <n v="113377"/>
    <x v="478"/>
    <s v="High"/>
    <s v="Laptop"/>
  </r>
  <r>
    <n v="480"/>
    <x v="2"/>
    <x v="8"/>
    <x v="1"/>
    <x v="16"/>
    <n v="56977"/>
    <x v="479"/>
    <s v="Low"/>
    <s v="Tablet"/>
  </r>
  <r>
    <n v="481"/>
    <x v="1"/>
    <x v="3"/>
    <x v="4"/>
    <x v="3"/>
    <n v="104409"/>
    <x v="480"/>
    <s v="High"/>
    <s v="Phone"/>
  </r>
  <r>
    <n v="482"/>
    <x v="0"/>
    <x v="2"/>
    <x v="3"/>
    <x v="12"/>
    <n v="231130"/>
    <x v="481"/>
    <s v="High"/>
    <s v="Laptop"/>
  </r>
  <r>
    <n v="483"/>
    <x v="2"/>
    <x v="8"/>
    <x v="4"/>
    <x v="6"/>
    <n v="51381"/>
    <x v="482"/>
    <s v="Low"/>
    <s v="Tablet"/>
  </r>
  <r>
    <n v="484"/>
    <x v="0"/>
    <x v="1"/>
    <x v="0"/>
    <x v="18"/>
    <n v="227103"/>
    <x v="483"/>
    <s v="High"/>
    <s v="Laptop"/>
  </r>
  <r>
    <n v="485"/>
    <x v="1"/>
    <x v="3"/>
    <x v="0"/>
    <x v="3"/>
    <n v="111618"/>
    <x v="484"/>
    <s v="High"/>
    <s v="Phone"/>
  </r>
  <r>
    <n v="486"/>
    <x v="1"/>
    <x v="3"/>
    <x v="4"/>
    <x v="17"/>
    <n v="69342"/>
    <x v="485"/>
    <s v="High"/>
    <s v="Phone"/>
  </r>
  <r>
    <n v="487"/>
    <x v="2"/>
    <x v="6"/>
    <x v="1"/>
    <x v="1"/>
    <n v="75426"/>
    <x v="486"/>
    <s v="Low"/>
    <s v="Tablet"/>
  </r>
  <r>
    <n v="488"/>
    <x v="2"/>
    <x v="5"/>
    <x v="4"/>
    <x v="5"/>
    <n v="92395"/>
    <x v="487"/>
    <s v="Low"/>
    <s v="Tablet"/>
  </r>
  <r>
    <n v="489"/>
    <x v="0"/>
    <x v="1"/>
    <x v="2"/>
    <x v="10"/>
    <n v="165769"/>
    <x v="488"/>
    <s v="High"/>
    <s v="Laptop"/>
  </r>
  <r>
    <n v="490"/>
    <x v="1"/>
    <x v="7"/>
    <x v="1"/>
    <x v="8"/>
    <n v="80384"/>
    <x v="489"/>
    <s v="Low"/>
    <s v="Phone"/>
  </r>
  <r>
    <n v="491"/>
    <x v="1"/>
    <x v="4"/>
    <x v="4"/>
    <x v="8"/>
    <n v="99332"/>
    <x v="490"/>
    <s v="Low"/>
    <s v="Phone"/>
  </r>
  <r>
    <n v="492"/>
    <x v="0"/>
    <x v="1"/>
    <x v="2"/>
    <x v="4"/>
    <n v="92011"/>
    <x v="491"/>
    <s v="Low"/>
    <s v="Laptop"/>
  </r>
  <r>
    <n v="493"/>
    <x v="0"/>
    <x v="1"/>
    <x v="3"/>
    <x v="1"/>
    <n v="229839"/>
    <x v="492"/>
    <s v="High"/>
    <s v="Laptop"/>
  </r>
  <r>
    <n v="494"/>
    <x v="2"/>
    <x v="8"/>
    <x v="3"/>
    <x v="16"/>
    <n v="88515"/>
    <x v="493"/>
    <s v="Low"/>
    <s v="Tablet"/>
  </r>
  <r>
    <n v="495"/>
    <x v="2"/>
    <x v="6"/>
    <x v="2"/>
    <x v="5"/>
    <n v="44652"/>
    <x v="494"/>
    <s v="Low"/>
    <s v="Tablet"/>
  </r>
  <r>
    <n v="496"/>
    <x v="0"/>
    <x v="2"/>
    <x v="3"/>
    <x v="14"/>
    <n v="210956"/>
    <x v="495"/>
    <s v="High"/>
    <s v="Laptop"/>
  </r>
  <r>
    <n v="497"/>
    <x v="2"/>
    <x v="8"/>
    <x v="0"/>
    <x v="15"/>
    <n v="58556"/>
    <x v="496"/>
    <s v="Low"/>
    <s v="Tablet"/>
  </r>
  <r>
    <n v="498"/>
    <x v="1"/>
    <x v="4"/>
    <x v="4"/>
    <x v="18"/>
    <n v="90403"/>
    <x v="497"/>
    <s v="Low"/>
    <s v="Phone"/>
  </r>
  <r>
    <n v="499"/>
    <x v="1"/>
    <x v="3"/>
    <x v="1"/>
    <x v="0"/>
    <n v="74973"/>
    <x v="498"/>
    <s v="High"/>
    <s v="Phone"/>
  </r>
  <r>
    <n v="500"/>
    <x v="1"/>
    <x v="3"/>
    <x v="3"/>
    <x v="12"/>
    <n v="62352"/>
    <x v="499"/>
    <s v="Low"/>
    <s v="Ph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D3D7E-E1A6-4DFE-9433-1E4CBDF69298}" name="Total Revenue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showAll="0"/>
    <pivotField showAll="0">
      <items count="4">
        <item x="2"/>
        <item x="1"/>
        <item x="0"/>
        <item t="default"/>
      </items>
    </pivotField>
    <pivotField showAll="0">
      <items count="10">
        <item x="6"/>
        <item x="5"/>
        <item x="8"/>
        <item x="3"/>
        <item x="7"/>
        <item x="4"/>
        <item x="0"/>
        <item x="2"/>
        <item x="1"/>
        <item t="default"/>
      </items>
    </pivotField>
    <pivotField axis="axisRow" showAll="0">
      <items count="6">
        <item x="3"/>
        <item x="1"/>
        <item x="4"/>
        <item x="2"/>
        <item x="0"/>
        <item t="default"/>
      </items>
    </pivotField>
    <pivotField showAll="0"/>
    <pivotField numFmtId="164" showAll="0"/>
    <pivotField dataField="1" numFmtId="164" showAll="0">
      <items count="501">
        <item x="69"/>
        <item x="316"/>
        <item x="479"/>
        <item x="62"/>
        <item x="471"/>
        <item x="152"/>
        <item x="151"/>
        <item x="283"/>
        <item x="303"/>
        <item x="493"/>
        <item x="214"/>
        <item x="23"/>
        <item x="166"/>
        <item x="201"/>
        <item x="266"/>
        <item x="37"/>
        <item x="70"/>
        <item x="441"/>
        <item x="155"/>
        <item x="462"/>
        <item x="61"/>
        <item x="261"/>
        <item x="49"/>
        <item x="344"/>
        <item x="338"/>
        <item x="235"/>
        <item x="215"/>
        <item x="425"/>
        <item x="265"/>
        <item x="222"/>
        <item x="467"/>
        <item x="418"/>
        <item x="280"/>
        <item x="494"/>
        <item x="321"/>
        <item x="118"/>
        <item x="73"/>
        <item x="313"/>
        <item x="54"/>
        <item x="323"/>
        <item x="8"/>
        <item x="68"/>
        <item x="304"/>
        <item x="269"/>
        <item x="373"/>
        <item x="428"/>
        <item x="127"/>
        <item x="2"/>
        <item x="34"/>
        <item x="248"/>
        <item x="298"/>
        <item x="277"/>
        <item x="51"/>
        <item x="395"/>
        <item x="330"/>
        <item x="53"/>
        <item x="381"/>
        <item x="232"/>
        <item x="17"/>
        <item x="132"/>
        <item x="386"/>
        <item x="96"/>
        <item x="336"/>
        <item x="143"/>
        <item x="60"/>
        <item x="289"/>
        <item x="426"/>
        <item x="294"/>
        <item x="142"/>
        <item x="417"/>
        <item x="349"/>
        <item x="194"/>
        <item x="168"/>
        <item x="212"/>
        <item x="437"/>
        <item x="50"/>
        <item x="487"/>
        <item x="391"/>
        <item x="63"/>
        <item x="120"/>
        <item x="363"/>
        <item x="301"/>
        <item x="115"/>
        <item x="353"/>
        <item x="30"/>
        <item x="496"/>
        <item x="125"/>
        <item x="24"/>
        <item x="206"/>
        <item x="465"/>
        <item x="202"/>
        <item x="149"/>
        <item x="450"/>
        <item x="489"/>
        <item x="355"/>
        <item x="430"/>
        <item x="196"/>
        <item x="332"/>
        <item x="438"/>
        <item x="358"/>
        <item x="133"/>
        <item x="275"/>
        <item x="141"/>
        <item x="354"/>
        <item x="460"/>
        <item x="110"/>
        <item x="136"/>
        <item x="31"/>
        <item x="237"/>
        <item x="423"/>
        <item x="420"/>
        <item x="339"/>
        <item x="392"/>
        <item x="179"/>
        <item x="5"/>
        <item x="490"/>
        <item x="21"/>
        <item x="282"/>
        <item x="347"/>
        <item x="375"/>
        <item x="197"/>
        <item x="186"/>
        <item x="75"/>
        <item x="47"/>
        <item x="193"/>
        <item x="13"/>
        <item x="477"/>
        <item x="249"/>
        <item x="359"/>
        <item x="449"/>
        <item x="27"/>
        <item x="208"/>
        <item x="172"/>
        <item x="130"/>
        <item x="58"/>
        <item x="25"/>
        <item x="192"/>
        <item x="253"/>
        <item x="163"/>
        <item x="234"/>
        <item x="173"/>
        <item x="97"/>
        <item x="220"/>
        <item x="106"/>
        <item x="356"/>
        <item x="33"/>
        <item x="138"/>
        <item x="20"/>
        <item x="365"/>
        <item x="145"/>
        <item x="228"/>
        <item x="128"/>
        <item x="200"/>
        <item x="446"/>
        <item x="497"/>
        <item x="83"/>
        <item x="378"/>
        <item x="182"/>
        <item x="293"/>
        <item x="256"/>
        <item x="72"/>
        <item x="499"/>
        <item x="305"/>
        <item x="177"/>
        <item x="319"/>
        <item x="258"/>
        <item x="352"/>
        <item x="137"/>
        <item x="436"/>
        <item x="91"/>
        <item x="190"/>
        <item x="188"/>
        <item x="122"/>
        <item x="221"/>
        <item x="464"/>
        <item x="276"/>
        <item x="117"/>
        <item x="240"/>
        <item x="250"/>
        <item x="187"/>
        <item x="161"/>
        <item x="257"/>
        <item x="412"/>
        <item x="211"/>
        <item x="267"/>
        <item x="324"/>
        <item x="57"/>
        <item x="394"/>
        <item x="413"/>
        <item x="52"/>
        <item x="407"/>
        <item x="315"/>
        <item x="147"/>
        <item x="226"/>
        <item x="472"/>
        <item x="457"/>
        <item x="385"/>
        <item x="87"/>
        <item x="263"/>
        <item x="326"/>
        <item x="291"/>
        <item x="408"/>
        <item x="451"/>
        <item x="198"/>
        <item x="11"/>
        <item x="307"/>
        <item x="341"/>
        <item x="94"/>
        <item x="88"/>
        <item x="154"/>
        <item x="45"/>
        <item x="433"/>
        <item x="335"/>
        <item x="7"/>
        <item x="176"/>
        <item x="439"/>
        <item x="171"/>
        <item x="445"/>
        <item x="262"/>
        <item x="461"/>
        <item x="360"/>
        <item x="22"/>
        <item x="357"/>
        <item x="325"/>
        <item x="279"/>
        <item x="209"/>
        <item x="191"/>
        <item x="241"/>
        <item x="255"/>
        <item x="397"/>
        <item x="227"/>
        <item x="379"/>
        <item x="432"/>
        <item x="103"/>
        <item x="224"/>
        <item x="93"/>
        <item x="102"/>
        <item x="318"/>
        <item x="150"/>
        <item x="178"/>
        <item x="387"/>
        <item x="170"/>
        <item x="41"/>
        <item x="131"/>
        <item x="273"/>
        <item x="39"/>
        <item x="310"/>
        <item x="85"/>
        <item x="148"/>
        <item x="9"/>
        <item x="327"/>
        <item x="404"/>
        <item x="16"/>
        <item x="486"/>
        <item x="367"/>
        <item x="421"/>
        <item x="203"/>
        <item x="406"/>
        <item x="114"/>
        <item x="156"/>
        <item x="157"/>
        <item x="372"/>
        <item x="15"/>
        <item x="287"/>
        <item x="361"/>
        <item x="189"/>
        <item x="469"/>
        <item x="398"/>
        <item x="225"/>
        <item x="405"/>
        <item x="59"/>
        <item x="491"/>
        <item x="107"/>
        <item x="74"/>
        <item x="482"/>
        <item x="376"/>
        <item x="453"/>
        <item x="400"/>
        <item x="259"/>
        <item x="38"/>
        <item x="3"/>
        <item x="383"/>
        <item x="342"/>
        <item x="180"/>
        <item x="140"/>
        <item x="306"/>
        <item x="64"/>
        <item x="468"/>
        <item x="456"/>
        <item x="123"/>
        <item x="218"/>
        <item x="292"/>
        <item x="296"/>
        <item x="243"/>
        <item x="247"/>
        <item x="474"/>
        <item x="270"/>
        <item x="264"/>
        <item x="370"/>
        <item x="14"/>
        <item x="43"/>
        <item x="393"/>
        <item x="314"/>
        <item x="322"/>
        <item x="254"/>
        <item x="160"/>
        <item x="90"/>
        <item x="219"/>
        <item x="470"/>
        <item x="251"/>
        <item x="86"/>
        <item x="351"/>
        <item x="390"/>
        <item x="299"/>
        <item x="369"/>
        <item x="455"/>
        <item x="389"/>
        <item x="113"/>
        <item x="475"/>
        <item x="377"/>
        <item x="312"/>
        <item x="340"/>
        <item x="399"/>
        <item x="10"/>
        <item x="374"/>
        <item x="44"/>
        <item x="207"/>
        <item x="498"/>
        <item x="268"/>
        <item x="195"/>
        <item x="112"/>
        <item x="144"/>
        <item x="245"/>
        <item x="126"/>
        <item x="81"/>
        <item x="286"/>
        <item x="167"/>
        <item x="95"/>
        <item x="409"/>
        <item x="485"/>
        <item x="158"/>
        <item x="71"/>
        <item x="440"/>
        <item x="108"/>
        <item x="18"/>
        <item x="42"/>
        <item x="146"/>
        <item x="98"/>
        <item x="111"/>
        <item x="411"/>
        <item x="100"/>
        <item x="348"/>
        <item x="345"/>
        <item x="463"/>
        <item x="134"/>
        <item x="380"/>
        <item x="76"/>
        <item x="236"/>
        <item x="233"/>
        <item x="480"/>
        <item x="40"/>
        <item x="476"/>
        <item x="26"/>
        <item x="285"/>
        <item x="6"/>
        <item x="32"/>
        <item x="371"/>
        <item x="231"/>
        <item x="466"/>
        <item x="458"/>
        <item x="162"/>
        <item x="382"/>
        <item x="181"/>
        <item x="252"/>
        <item x="329"/>
        <item x="300"/>
        <item x="488"/>
        <item x="442"/>
        <item x="484"/>
        <item x="77"/>
        <item x="483"/>
        <item x="199"/>
        <item x="78"/>
        <item x="281"/>
        <item x="82"/>
        <item x="260"/>
        <item x="174"/>
        <item x="346"/>
        <item x="109"/>
        <item x="175"/>
        <item x="343"/>
        <item x="362"/>
        <item x="48"/>
        <item x="230"/>
        <item x="284"/>
        <item x="28"/>
        <item x="183"/>
        <item x="435"/>
        <item x="364"/>
        <item x="80"/>
        <item x="415"/>
        <item x="473"/>
        <item x="396"/>
        <item x="459"/>
        <item x="121"/>
        <item x="290"/>
        <item x="229"/>
        <item x="337"/>
        <item x="309"/>
        <item x="105"/>
        <item x="424"/>
        <item x="238"/>
        <item x="244"/>
        <item x="239"/>
        <item x="184"/>
        <item x="331"/>
        <item x="19"/>
        <item x="328"/>
        <item x="56"/>
        <item x="89"/>
        <item x="139"/>
        <item x="334"/>
        <item x="12"/>
        <item x="65"/>
        <item x="388"/>
        <item x="66"/>
        <item x="402"/>
        <item x="422"/>
        <item x="403"/>
        <item x="478"/>
        <item x="116"/>
        <item x="434"/>
        <item x="414"/>
        <item x="164"/>
        <item x="29"/>
        <item x="311"/>
        <item x="185"/>
        <item x="481"/>
        <item x="350"/>
        <item x="84"/>
        <item x="217"/>
        <item x="4"/>
        <item x="204"/>
        <item x="104"/>
        <item x="416"/>
        <item x="0"/>
        <item x="333"/>
        <item x="431"/>
        <item x="101"/>
        <item x="366"/>
        <item x="169"/>
        <item x="242"/>
        <item x="384"/>
        <item x="297"/>
        <item x="1"/>
        <item x="419"/>
        <item x="427"/>
        <item x="99"/>
        <item x="67"/>
        <item x="492"/>
        <item x="210"/>
        <item x="246"/>
        <item x="278"/>
        <item x="401"/>
        <item x="308"/>
        <item x="302"/>
        <item x="368"/>
        <item x="317"/>
        <item x="274"/>
        <item x="271"/>
        <item x="216"/>
        <item x="165"/>
        <item x="36"/>
        <item x="35"/>
        <item x="223"/>
        <item x="410"/>
        <item x="135"/>
        <item x="448"/>
        <item x="288"/>
        <item x="92"/>
        <item x="447"/>
        <item x="55"/>
        <item x="129"/>
        <item x="153"/>
        <item x="295"/>
        <item x="124"/>
        <item x="46"/>
        <item x="429"/>
        <item x="444"/>
        <item x="272"/>
        <item x="119"/>
        <item x="205"/>
        <item x="320"/>
        <item x="495"/>
        <item x="213"/>
        <item x="443"/>
        <item x="159"/>
        <item x="79"/>
        <item x="454"/>
        <item x="452"/>
        <item t="default"/>
      </items>
    </pivotField>
    <pivotField showAll="0"/>
    <pivotField showAll="0"/>
  </pivotFields>
  <rowFields count="1">
    <field x="3"/>
  </rowFields>
  <rowItems count="6">
    <i>
      <x/>
    </i>
    <i>
      <x v="1"/>
    </i>
    <i>
      <x v="2"/>
    </i>
    <i>
      <x v="3"/>
    </i>
    <i>
      <x v="4"/>
    </i>
    <i t="grand">
      <x/>
    </i>
  </rowItems>
  <colItems count="1">
    <i/>
  </colItems>
  <dataFields count="1">
    <dataField name="Sum of Revenue_INR" fld="6" baseField="0" baseItem="0" numFmtId="164"/>
  </dataFields>
  <formats count="22">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grandRow="1" outline="0"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3" type="button" dataOnly="0" labelOnly="1" outline="0" axis="axisRow" fieldPosition="0"/>
    </format>
    <format dxfId="30">
      <pivotArea dataOnly="0" labelOnly="1" fieldPosition="0">
        <references count="1">
          <reference field="3" count="0"/>
        </references>
      </pivotArea>
    </format>
    <format dxfId="29">
      <pivotArea dataOnly="0" labelOnly="1" grandRow="1" outline="0" fieldPosition="0"/>
    </format>
    <format dxfId="28">
      <pivotArea dataOnly="0" labelOnly="1" outline="0" axis="axisValues" fieldPosition="0"/>
    </format>
    <format dxfId="27">
      <pivotArea field="3" type="button" dataOnly="0" labelOnly="1" outline="0" axis="axisRow" fieldPosition="0"/>
    </format>
    <format dxfId="26">
      <pivotArea dataOnly="0" labelOnly="1" outline="0" axis="axisValues" fieldPosition="0"/>
    </format>
    <format dxfId="25">
      <pivotArea grandRow="1" outline="0" collapsedLevelsAreSubtotals="1" fieldPosition="0"/>
    </format>
    <format dxfId="24">
      <pivotArea dataOnly="0" labelOnly="1" grandRow="1" outline="0" fieldPosition="0"/>
    </format>
    <format dxfId="23">
      <pivotArea type="all" dataOnly="0" outline="0" fieldPosition="0"/>
    </format>
    <format dxfId="22">
      <pivotArea outline="0" collapsedLevelsAreSubtotals="1" fieldPosition="0"/>
    </format>
    <format dxfId="21">
      <pivotArea field="3" type="button" dataOnly="0" labelOnly="1" outline="0" axis="axisRow" fieldPosition="0"/>
    </format>
    <format dxfId="20">
      <pivotArea dataOnly="0" labelOnly="1" fieldPosition="0">
        <references count="1">
          <reference field="3" count="0"/>
        </references>
      </pivotArea>
    </format>
    <format dxfId="19">
      <pivotArea dataOnly="0" labelOnly="1" grandRow="1" outline="0" fieldPosition="0"/>
    </format>
    <format dxfId="1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D5DC58-5AFE-4362-AE4A-009F184411B0}" name="Unit Sold By Product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B7" firstHeaderRow="1" firstDataRow="1" firstDataCol="1"/>
  <pivotFields count="9">
    <pivotField compact="0" outline="0" showAll="0"/>
    <pivotField axis="axisRow" compact="0" outline="0" showAll="0">
      <items count="4">
        <item x="2"/>
        <item x="1"/>
        <item x="0"/>
        <item t="default"/>
      </items>
    </pivotField>
    <pivotField compact="0" outline="0" showAll="0">
      <items count="10">
        <item x="6"/>
        <item x="5"/>
        <item x="8"/>
        <item x="3"/>
        <item x="7"/>
        <item x="4"/>
        <item x="0"/>
        <item x="2"/>
        <item x="1"/>
        <item t="default"/>
      </items>
    </pivotField>
    <pivotField compact="0" outline="0" showAll="0">
      <items count="6">
        <item x="3"/>
        <item x="1"/>
        <item x="4"/>
        <item x="2"/>
        <item x="0"/>
        <item t="default"/>
      </items>
    </pivotField>
    <pivotField dataField="1" compact="0" outline="0" showAll="0">
      <items count="20">
        <item x="16"/>
        <item x="2"/>
        <item x="5"/>
        <item x="8"/>
        <item x="15"/>
        <item x="18"/>
        <item x="7"/>
        <item x="10"/>
        <item x="12"/>
        <item x="4"/>
        <item x="1"/>
        <item x="3"/>
        <item x="11"/>
        <item x="13"/>
        <item x="0"/>
        <item x="9"/>
        <item x="17"/>
        <item x="6"/>
        <item x="14"/>
        <item t="default"/>
      </items>
    </pivotField>
    <pivotField compact="0" numFmtId="164" outline="0" showAll="0"/>
    <pivotField compact="0" numFmtId="164" outline="0" showAll="0"/>
    <pivotField compact="0" outline="0" showAll="0"/>
    <pivotField compact="0" outline="0" showAll="0"/>
  </pivotFields>
  <rowFields count="1">
    <field x="1"/>
  </rowFields>
  <rowItems count="4">
    <i>
      <x/>
    </i>
    <i>
      <x v="1"/>
    </i>
    <i>
      <x v="2"/>
    </i>
    <i t="grand">
      <x/>
    </i>
  </rowItems>
  <colItems count="1">
    <i/>
  </colItems>
  <dataFields count="1">
    <dataField name="Sum of Units_Sold" fld="4" baseField="0" baseItem="0"/>
  </dataFields>
  <formats count="18">
    <format dxfId="17">
      <pivotArea type="all" dataOnly="0" outline="0" fieldPosition="0"/>
    </format>
    <format dxfId="16">
      <pivotArea outline="0" collapsedLevelsAreSubtotals="1" fieldPosition="0"/>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1" type="button" dataOnly="0" labelOnly="1" outline="0" axis="axisRow" fieldPosition="0"/>
    </format>
    <format dxfId="8">
      <pivotArea dataOnly="0" labelOnly="1" fieldPosition="0">
        <references count="1">
          <reference field="1"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 type="button" dataOnly="0" labelOnly="1" outline="0" axis="axisRow" fieldPosition="0"/>
    </format>
    <format dxfId="2">
      <pivotArea dataOnly="0" labelOnly="1" fieldPosition="0">
        <references count="1">
          <reference field="1"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60204D-D9C8-4EB9-9D91-E401CB2B00E1}" name="P_Model &amp; revenuw"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3" firstHeaderRow="1" firstDataRow="1" firstDataCol="1"/>
  <pivotFields count="9">
    <pivotField showAll="0"/>
    <pivotField showAll="0">
      <items count="4">
        <item x="2"/>
        <item x="1"/>
        <item x="0"/>
        <item t="default"/>
      </items>
    </pivotField>
    <pivotField axis="axisRow" showAll="0" sortType="ascending">
      <items count="10">
        <item x="6"/>
        <item x="5"/>
        <item x="8"/>
        <item x="3"/>
        <item x="7"/>
        <item x="4"/>
        <item x="0"/>
        <item x="2"/>
        <item x="1"/>
        <item t="default"/>
      </items>
    </pivotField>
    <pivotField showAll="0">
      <items count="6">
        <item x="3"/>
        <item x="1"/>
        <item x="4"/>
        <item x="2"/>
        <item x="0"/>
        <item t="default"/>
      </items>
    </pivotField>
    <pivotField showAll="0"/>
    <pivotField numFmtId="164" showAll="0"/>
    <pivotField dataField="1" numFmtId="164" showAll="0"/>
    <pivotField showAll="0"/>
    <pivotField showAll="0"/>
  </pivotFields>
  <rowFields count="1">
    <field x="2"/>
  </rowFields>
  <rowItems count="10">
    <i>
      <x/>
    </i>
    <i>
      <x v="1"/>
    </i>
    <i>
      <x v="2"/>
    </i>
    <i>
      <x v="3"/>
    </i>
    <i>
      <x v="4"/>
    </i>
    <i>
      <x v="5"/>
    </i>
    <i>
      <x v="6"/>
    </i>
    <i>
      <x v="7"/>
    </i>
    <i>
      <x v="8"/>
    </i>
    <i t="grand">
      <x/>
    </i>
  </rowItems>
  <colItems count="1">
    <i/>
  </colItems>
  <dataFields count="1">
    <dataField name="Sum of Revenue_INR" fld="6"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42F8B0-EDE5-4584-AB70-E4B181012A9F}" name="Region Wise Top Produc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K10" firstHeaderRow="1" firstDataRow="2" firstDataCol="1"/>
  <pivotFields count="9">
    <pivotField showAll="0"/>
    <pivotField showAll="0">
      <items count="4">
        <item x="2"/>
        <item x="1"/>
        <item x="0"/>
        <item t="default"/>
      </items>
    </pivotField>
    <pivotField axis="axisCol" showAll="0">
      <items count="10">
        <item x="6"/>
        <item x="5"/>
        <item x="8"/>
        <item x="3"/>
        <item x="7"/>
        <item x="4"/>
        <item x="0"/>
        <item x="2"/>
        <item x="1"/>
        <item t="default"/>
      </items>
    </pivotField>
    <pivotField axis="axisRow" showAll="0">
      <items count="6">
        <item x="3"/>
        <item x="1"/>
        <item x="4"/>
        <item x="2"/>
        <item x="0"/>
        <item t="default"/>
      </items>
    </pivotField>
    <pivotField dataField="1" showAll="0"/>
    <pivotField numFmtId="164" showAll="0"/>
    <pivotField numFmtId="164" showAll="0"/>
    <pivotField showAll="0"/>
    <pivotField showAll="0"/>
  </pivotFields>
  <rowFields count="1">
    <field x="3"/>
  </rowFields>
  <rowItems count="6">
    <i>
      <x/>
    </i>
    <i>
      <x v="1"/>
    </i>
    <i>
      <x v="2"/>
    </i>
    <i>
      <x v="3"/>
    </i>
    <i>
      <x v="4"/>
    </i>
    <i t="grand">
      <x/>
    </i>
  </rowItems>
  <colFields count="1">
    <field x="2"/>
  </colFields>
  <colItems count="10">
    <i>
      <x/>
    </i>
    <i>
      <x v="1"/>
    </i>
    <i>
      <x v="2"/>
    </i>
    <i>
      <x v="3"/>
    </i>
    <i>
      <x v="4"/>
    </i>
    <i>
      <x v="5"/>
    </i>
    <i>
      <x v="6"/>
    </i>
    <i>
      <x v="7"/>
    </i>
    <i>
      <x v="8"/>
    </i>
    <i t="grand">
      <x/>
    </i>
  </colItems>
  <dataFields count="1">
    <dataField name="Sum of Units_Sold" fld="4" baseField="0" baseItem="0"/>
  </dataFields>
  <chartFormats count="11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pivotArea type="data" outline="0" fieldPosition="0">
        <references count="3">
          <reference field="4294967294" count="1" selected="0">
            <x v="0"/>
          </reference>
          <reference field="2" count="1" selected="0">
            <x v="2"/>
          </reference>
          <reference field="3" count="1" selected="0">
            <x v="0"/>
          </reference>
        </references>
      </pivotArea>
    </chartFormat>
    <chartFormat chart="0" format="10">
      <pivotArea type="data" outline="0" fieldPosition="0">
        <references count="3">
          <reference field="4294967294" count="1" selected="0">
            <x v="0"/>
          </reference>
          <reference field="2" count="1" selected="0">
            <x v="2"/>
          </reference>
          <reference field="3" count="1" selected="0">
            <x v="1"/>
          </reference>
        </references>
      </pivotArea>
    </chartFormat>
    <chartFormat chart="0" format="11">
      <pivotArea type="data" outline="0" fieldPosition="0">
        <references count="3">
          <reference field="4294967294" count="1" selected="0">
            <x v="0"/>
          </reference>
          <reference field="2" count="1" selected="0">
            <x v="2"/>
          </reference>
          <reference field="3" count="1" selected="0">
            <x v="2"/>
          </reference>
        </references>
      </pivotArea>
    </chartFormat>
    <chartFormat chart="0" format="12">
      <pivotArea type="data" outline="0" fieldPosition="0">
        <references count="3">
          <reference field="4294967294" count="1" selected="0">
            <x v="0"/>
          </reference>
          <reference field="2" count="1" selected="0">
            <x v="2"/>
          </reference>
          <reference field="3" count="1" selected="0">
            <x v="3"/>
          </reference>
        </references>
      </pivotArea>
    </chartFormat>
    <chartFormat chart="0" format="13">
      <pivotArea type="data" outline="0" fieldPosition="0">
        <references count="3">
          <reference field="4294967294" count="1" selected="0">
            <x v="0"/>
          </reference>
          <reference field="2" count="1" selected="0">
            <x v="2"/>
          </reference>
          <reference field="3" count="1" selected="0">
            <x v="4"/>
          </reference>
        </references>
      </pivotArea>
    </chartFormat>
    <chartFormat chart="5" format="20" series="1">
      <pivotArea type="data" outline="0" fieldPosition="0">
        <references count="2">
          <reference field="4294967294" count="1" selected="0">
            <x v="0"/>
          </reference>
          <reference field="2" count="1" selected="0">
            <x v="2"/>
          </reference>
        </references>
      </pivotArea>
    </chartFormat>
    <chartFormat chart="5" format="21">
      <pivotArea type="data" outline="0" fieldPosition="0">
        <references count="3">
          <reference field="4294967294" count="1" selected="0">
            <x v="0"/>
          </reference>
          <reference field="2" count="1" selected="0">
            <x v="2"/>
          </reference>
          <reference field="3" count="1" selected="0">
            <x v="0"/>
          </reference>
        </references>
      </pivotArea>
    </chartFormat>
    <chartFormat chart="5" format="22">
      <pivotArea type="data" outline="0" fieldPosition="0">
        <references count="3">
          <reference field="4294967294" count="1" selected="0">
            <x v="0"/>
          </reference>
          <reference field="2" count="1" selected="0">
            <x v="2"/>
          </reference>
          <reference field="3" count="1" selected="0">
            <x v="1"/>
          </reference>
        </references>
      </pivotArea>
    </chartFormat>
    <chartFormat chart="5" format="23">
      <pivotArea type="data" outline="0" fieldPosition="0">
        <references count="3">
          <reference field="4294967294" count="1" selected="0">
            <x v="0"/>
          </reference>
          <reference field="2" count="1" selected="0">
            <x v="2"/>
          </reference>
          <reference field="3" count="1" selected="0">
            <x v="2"/>
          </reference>
        </references>
      </pivotArea>
    </chartFormat>
    <chartFormat chart="5" format="24">
      <pivotArea type="data" outline="0" fieldPosition="0">
        <references count="3">
          <reference field="4294967294" count="1" selected="0">
            <x v="0"/>
          </reference>
          <reference field="2" count="1" selected="0">
            <x v="2"/>
          </reference>
          <reference field="3" count="1" selected="0">
            <x v="3"/>
          </reference>
        </references>
      </pivotArea>
    </chartFormat>
    <chartFormat chart="5" format="25">
      <pivotArea type="data" outline="0" fieldPosition="0">
        <references count="3">
          <reference field="4294967294" count="1" selected="0">
            <x v="0"/>
          </reference>
          <reference field="2" count="1" selected="0">
            <x v="2"/>
          </reference>
          <reference field="3" count="1" selected="0">
            <x v="4"/>
          </reference>
        </references>
      </pivotArea>
    </chartFormat>
    <chartFormat chart="5" format="26" series="1">
      <pivotArea type="data" outline="0" fieldPosition="0">
        <references count="2">
          <reference field="4294967294" count="1" selected="0">
            <x v="0"/>
          </reference>
          <reference field="2" count="1" selected="0">
            <x v="0"/>
          </reference>
        </references>
      </pivotArea>
    </chartFormat>
    <chartFormat chart="5" format="27" series="1">
      <pivotArea type="data" outline="0" fieldPosition="0">
        <references count="2">
          <reference field="4294967294" count="1" selected="0">
            <x v="0"/>
          </reference>
          <reference field="2" count="1" selected="0">
            <x v="1"/>
          </reference>
        </references>
      </pivotArea>
    </chartFormat>
    <chartFormat chart="5" format="28" series="1">
      <pivotArea type="data" outline="0" fieldPosition="0">
        <references count="2">
          <reference field="4294967294" count="1" selected="0">
            <x v="0"/>
          </reference>
          <reference field="2" count="1" selected="0">
            <x v="3"/>
          </reference>
        </references>
      </pivotArea>
    </chartFormat>
    <chartFormat chart="5" format="29" series="1">
      <pivotArea type="data" outline="0" fieldPosition="0">
        <references count="2">
          <reference field="4294967294" count="1" selected="0">
            <x v="0"/>
          </reference>
          <reference field="2" count="1" selected="0">
            <x v="4"/>
          </reference>
        </references>
      </pivotArea>
    </chartFormat>
    <chartFormat chart="5" format="30" series="1">
      <pivotArea type="data" outline="0" fieldPosition="0">
        <references count="2">
          <reference field="4294967294" count="1" selected="0">
            <x v="0"/>
          </reference>
          <reference field="2" count="1" selected="0">
            <x v="5"/>
          </reference>
        </references>
      </pivotArea>
    </chartFormat>
    <chartFormat chart="5" format="31" series="1">
      <pivotArea type="data" outline="0" fieldPosition="0">
        <references count="2">
          <reference field="4294967294" count="1" selected="0">
            <x v="0"/>
          </reference>
          <reference field="2" count="1" selected="0">
            <x v="6"/>
          </reference>
        </references>
      </pivotArea>
    </chartFormat>
    <chartFormat chart="5" format="32" series="1">
      <pivotArea type="data" outline="0" fieldPosition="0">
        <references count="2">
          <reference field="4294967294" count="1" selected="0">
            <x v="0"/>
          </reference>
          <reference field="2" count="1" selected="0">
            <x v="7"/>
          </reference>
        </references>
      </pivotArea>
    </chartFormat>
    <chartFormat chart="5" format="33" series="1">
      <pivotArea type="data" outline="0" fieldPosition="0">
        <references count="2">
          <reference field="4294967294" count="1" selected="0">
            <x v="0"/>
          </reference>
          <reference field="2" count="1" selected="0">
            <x v="8"/>
          </reference>
        </references>
      </pivotArea>
    </chartFormat>
    <chartFormat chart="5" format="34" series="1">
      <pivotArea type="data" outline="0" fieldPosition="0">
        <references count="1">
          <reference field="4294967294" count="1" selected="0">
            <x v="0"/>
          </reference>
        </references>
      </pivotArea>
    </chartFormat>
    <chartFormat chart="0" format="14" series="1">
      <pivotArea type="data" outline="0" fieldPosition="0">
        <references count="1">
          <reference field="4294967294" count="1" selected="0">
            <x v="0"/>
          </reference>
        </references>
      </pivotArea>
    </chartFormat>
    <chartFormat chart="5" format="35">
      <pivotArea type="data" outline="0" fieldPosition="0">
        <references count="3">
          <reference field="4294967294" count="1" selected="0">
            <x v="0"/>
          </reference>
          <reference field="2" count="1" selected="0">
            <x v="0"/>
          </reference>
          <reference field="3" count="1" selected="0">
            <x v="0"/>
          </reference>
        </references>
      </pivotArea>
    </chartFormat>
    <chartFormat chart="5" format="36">
      <pivotArea type="data" outline="0" fieldPosition="0">
        <references count="3">
          <reference field="4294967294" count="1" selected="0">
            <x v="0"/>
          </reference>
          <reference field="2" count="1" selected="0">
            <x v="0"/>
          </reference>
          <reference field="3" count="1" selected="0">
            <x v="1"/>
          </reference>
        </references>
      </pivotArea>
    </chartFormat>
    <chartFormat chart="5" format="37">
      <pivotArea type="data" outline="0" fieldPosition="0">
        <references count="3">
          <reference field="4294967294" count="1" selected="0">
            <x v="0"/>
          </reference>
          <reference field="2" count="1" selected="0">
            <x v="0"/>
          </reference>
          <reference field="3" count="1" selected="0">
            <x v="2"/>
          </reference>
        </references>
      </pivotArea>
    </chartFormat>
    <chartFormat chart="5" format="38">
      <pivotArea type="data" outline="0" fieldPosition="0">
        <references count="3">
          <reference field="4294967294" count="1" selected="0">
            <x v="0"/>
          </reference>
          <reference field="2" count="1" selected="0">
            <x v="0"/>
          </reference>
          <reference field="3" count="1" selected="0">
            <x v="3"/>
          </reference>
        </references>
      </pivotArea>
    </chartFormat>
    <chartFormat chart="5" format="39">
      <pivotArea type="data" outline="0" fieldPosition="0">
        <references count="3">
          <reference field="4294967294" count="1" selected="0">
            <x v="0"/>
          </reference>
          <reference field="2" count="1" selected="0">
            <x v="0"/>
          </reference>
          <reference field="3" count="1" selected="0">
            <x v="4"/>
          </reference>
        </references>
      </pivotArea>
    </chartFormat>
    <chartFormat chart="5" format="40">
      <pivotArea type="data" outline="0" fieldPosition="0">
        <references count="3">
          <reference field="4294967294" count="1" selected="0">
            <x v="0"/>
          </reference>
          <reference field="2" count="1" selected="0">
            <x v="1"/>
          </reference>
          <reference field="3" count="1" selected="0">
            <x v="0"/>
          </reference>
        </references>
      </pivotArea>
    </chartFormat>
    <chartFormat chart="5" format="41">
      <pivotArea type="data" outline="0" fieldPosition="0">
        <references count="3">
          <reference field="4294967294" count="1" selected="0">
            <x v="0"/>
          </reference>
          <reference field="2" count="1" selected="0">
            <x v="1"/>
          </reference>
          <reference field="3" count="1" selected="0">
            <x v="1"/>
          </reference>
        </references>
      </pivotArea>
    </chartFormat>
    <chartFormat chart="5" format="42">
      <pivotArea type="data" outline="0" fieldPosition="0">
        <references count="3">
          <reference field="4294967294" count="1" selected="0">
            <x v="0"/>
          </reference>
          <reference field="2" count="1" selected="0">
            <x v="1"/>
          </reference>
          <reference field="3" count="1" selected="0">
            <x v="2"/>
          </reference>
        </references>
      </pivotArea>
    </chartFormat>
    <chartFormat chart="5" format="43">
      <pivotArea type="data" outline="0" fieldPosition="0">
        <references count="3">
          <reference field="4294967294" count="1" selected="0">
            <x v="0"/>
          </reference>
          <reference field="2" count="1" selected="0">
            <x v="1"/>
          </reference>
          <reference field="3" count="1" selected="0">
            <x v="3"/>
          </reference>
        </references>
      </pivotArea>
    </chartFormat>
    <chartFormat chart="5" format="44">
      <pivotArea type="data" outline="0" fieldPosition="0">
        <references count="3">
          <reference field="4294967294" count="1" selected="0">
            <x v="0"/>
          </reference>
          <reference field="2" count="1" selected="0">
            <x v="1"/>
          </reference>
          <reference field="3" count="1" selected="0">
            <x v="4"/>
          </reference>
        </references>
      </pivotArea>
    </chartFormat>
    <chartFormat chart="0" format="15">
      <pivotArea type="data" outline="0" fieldPosition="0">
        <references count="3">
          <reference field="4294967294" count="1" selected="0">
            <x v="0"/>
          </reference>
          <reference field="2" count="1" selected="0">
            <x v="0"/>
          </reference>
          <reference field="3" count="1" selected="0">
            <x v="0"/>
          </reference>
        </references>
      </pivotArea>
    </chartFormat>
    <chartFormat chart="0" format="16">
      <pivotArea type="data" outline="0" fieldPosition="0">
        <references count="3">
          <reference field="4294967294" count="1" selected="0">
            <x v="0"/>
          </reference>
          <reference field="2" count="1" selected="0">
            <x v="0"/>
          </reference>
          <reference field="3" count="1" selected="0">
            <x v="1"/>
          </reference>
        </references>
      </pivotArea>
    </chartFormat>
    <chartFormat chart="0" format="17">
      <pivotArea type="data" outline="0" fieldPosition="0">
        <references count="3">
          <reference field="4294967294" count="1" selected="0">
            <x v="0"/>
          </reference>
          <reference field="2" count="1" selected="0">
            <x v="0"/>
          </reference>
          <reference field="3" count="1" selected="0">
            <x v="2"/>
          </reference>
        </references>
      </pivotArea>
    </chartFormat>
    <chartFormat chart="0" format="18">
      <pivotArea type="data" outline="0" fieldPosition="0">
        <references count="3">
          <reference field="4294967294" count="1" selected="0">
            <x v="0"/>
          </reference>
          <reference field="2" count="1" selected="0">
            <x v="0"/>
          </reference>
          <reference field="3" count="1" selected="0">
            <x v="3"/>
          </reference>
        </references>
      </pivotArea>
    </chartFormat>
    <chartFormat chart="0" format="19">
      <pivotArea type="data" outline="0" fieldPosition="0">
        <references count="3">
          <reference field="4294967294" count="1" selected="0">
            <x v="0"/>
          </reference>
          <reference field="2" count="1" selected="0">
            <x v="0"/>
          </reference>
          <reference field="3" count="1" selected="0">
            <x v="4"/>
          </reference>
        </references>
      </pivotArea>
    </chartFormat>
    <chartFormat chart="0" format="20">
      <pivotArea type="data" outline="0" fieldPosition="0">
        <references count="3">
          <reference field="4294967294" count="1" selected="0">
            <x v="0"/>
          </reference>
          <reference field="2" count="1" selected="0">
            <x v="1"/>
          </reference>
          <reference field="3" count="1" selected="0">
            <x v="0"/>
          </reference>
        </references>
      </pivotArea>
    </chartFormat>
    <chartFormat chart="0" format="21">
      <pivotArea type="data" outline="0" fieldPosition="0">
        <references count="3">
          <reference field="4294967294" count="1" selected="0">
            <x v="0"/>
          </reference>
          <reference field="2" count="1" selected="0">
            <x v="1"/>
          </reference>
          <reference field="3" count="1" selected="0">
            <x v="1"/>
          </reference>
        </references>
      </pivotArea>
    </chartFormat>
    <chartFormat chart="0" format="22">
      <pivotArea type="data" outline="0" fieldPosition="0">
        <references count="3">
          <reference field="4294967294" count="1" selected="0">
            <x v="0"/>
          </reference>
          <reference field="2" count="1" selected="0">
            <x v="1"/>
          </reference>
          <reference field="3" count="1" selected="0">
            <x v="2"/>
          </reference>
        </references>
      </pivotArea>
    </chartFormat>
    <chartFormat chart="0" format="23">
      <pivotArea type="data" outline="0" fieldPosition="0">
        <references count="3">
          <reference field="4294967294" count="1" selected="0">
            <x v="0"/>
          </reference>
          <reference field="2" count="1" selected="0">
            <x v="1"/>
          </reference>
          <reference field="3" count="1" selected="0">
            <x v="3"/>
          </reference>
        </references>
      </pivotArea>
    </chartFormat>
    <chartFormat chart="0" format="24">
      <pivotArea type="data" outline="0" fieldPosition="0">
        <references count="3">
          <reference field="4294967294" count="1" selected="0">
            <x v="0"/>
          </reference>
          <reference field="2" count="1" selected="0">
            <x v="1"/>
          </reference>
          <reference field="3" count="1" selected="0">
            <x v="4"/>
          </reference>
        </references>
      </pivotArea>
    </chartFormat>
    <chartFormat chart="5" format="45">
      <pivotArea type="data" outline="0" fieldPosition="0">
        <references count="3">
          <reference field="4294967294" count="1" selected="0">
            <x v="0"/>
          </reference>
          <reference field="2" count="1" selected="0">
            <x v="3"/>
          </reference>
          <reference field="3" count="1" selected="0">
            <x v="0"/>
          </reference>
        </references>
      </pivotArea>
    </chartFormat>
    <chartFormat chart="5" format="46">
      <pivotArea type="data" outline="0" fieldPosition="0">
        <references count="3">
          <reference field="4294967294" count="1" selected="0">
            <x v="0"/>
          </reference>
          <reference field="2" count="1" selected="0">
            <x v="3"/>
          </reference>
          <reference field="3" count="1" selected="0">
            <x v="1"/>
          </reference>
        </references>
      </pivotArea>
    </chartFormat>
    <chartFormat chart="5" format="47">
      <pivotArea type="data" outline="0" fieldPosition="0">
        <references count="3">
          <reference field="4294967294" count="1" selected="0">
            <x v="0"/>
          </reference>
          <reference field="2" count="1" selected="0">
            <x v="3"/>
          </reference>
          <reference field="3" count="1" selected="0">
            <x v="2"/>
          </reference>
        </references>
      </pivotArea>
    </chartFormat>
    <chartFormat chart="5" format="48">
      <pivotArea type="data" outline="0" fieldPosition="0">
        <references count="3">
          <reference field="4294967294" count="1" selected="0">
            <x v="0"/>
          </reference>
          <reference field="2" count="1" selected="0">
            <x v="3"/>
          </reference>
          <reference field="3" count="1" selected="0">
            <x v="3"/>
          </reference>
        </references>
      </pivotArea>
    </chartFormat>
    <chartFormat chart="5" format="49">
      <pivotArea type="data" outline="0" fieldPosition="0">
        <references count="3">
          <reference field="4294967294" count="1" selected="0">
            <x v="0"/>
          </reference>
          <reference field="2" count="1" selected="0">
            <x v="3"/>
          </reference>
          <reference field="3" count="1" selected="0">
            <x v="4"/>
          </reference>
        </references>
      </pivotArea>
    </chartFormat>
    <chartFormat chart="5" format="50">
      <pivotArea type="data" outline="0" fieldPosition="0">
        <references count="3">
          <reference field="4294967294" count="1" selected="0">
            <x v="0"/>
          </reference>
          <reference field="2" count="1" selected="0">
            <x v="4"/>
          </reference>
          <reference field="3" count="1" selected="0">
            <x v="0"/>
          </reference>
        </references>
      </pivotArea>
    </chartFormat>
    <chartFormat chart="5" format="51">
      <pivotArea type="data" outline="0" fieldPosition="0">
        <references count="3">
          <reference field="4294967294" count="1" selected="0">
            <x v="0"/>
          </reference>
          <reference field="2" count="1" selected="0">
            <x v="4"/>
          </reference>
          <reference field="3" count="1" selected="0">
            <x v="1"/>
          </reference>
        </references>
      </pivotArea>
    </chartFormat>
    <chartFormat chart="5" format="52">
      <pivotArea type="data" outline="0" fieldPosition="0">
        <references count="3">
          <reference field="4294967294" count="1" selected="0">
            <x v="0"/>
          </reference>
          <reference field="2" count="1" selected="0">
            <x v="4"/>
          </reference>
          <reference field="3" count="1" selected="0">
            <x v="2"/>
          </reference>
        </references>
      </pivotArea>
    </chartFormat>
    <chartFormat chart="5" format="53">
      <pivotArea type="data" outline="0" fieldPosition="0">
        <references count="3">
          <reference field="4294967294" count="1" selected="0">
            <x v="0"/>
          </reference>
          <reference field="2" count="1" selected="0">
            <x v="4"/>
          </reference>
          <reference field="3" count="1" selected="0">
            <x v="3"/>
          </reference>
        </references>
      </pivotArea>
    </chartFormat>
    <chartFormat chart="5" format="54">
      <pivotArea type="data" outline="0" fieldPosition="0">
        <references count="3">
          <reference field="4294967294" count="1" selected="0">
            <x v="0"/>
          </reference>
          <reference field="2" count="1" selected="0">
            <x v="4"/>
          </reference>
          <reference field="3" count="1" selected="0">
            <x v="4"/>
          </reference>
        </references>
      </pivotArea>
    </chartFormat>
    <chartFormat chart="5" format="55">
      <pivotArea type="data" outline="0" fieldPosition="0">
        <references count="3">
          <reference field="4294967294" count="1" selected="0">
            <x v="0"/>
          </reference>
          <reference field="2" count="1" selected="0">
            <x v="5"/>
          </reference>
          <reference field="3" count="1" selected="0">
            <x v="0"/>
          </reference>
        </references>
      </pivotArea>
    </chartFormat>
    <chartFormat chart="5" format="56">
      <pivotArea type="data" outline="0" fieldPosition="0">
        <references count="3">
          <reference field="4294967294" count="1" selected="0">
            <x v="0"/>
          </reference>
          <reference field="2" count="1" selected="0">
            <x v="5"/>
          </reference>
          <reference field="3" count="1" selected="0">
            <x v="1"/>
          </reference>
        </references>
      </pivotArea>
    </chartFormat>
    <chartFormat chart="5" format="57">
      <pivotArea type="data" outline="0" fieldPosition="0">
        <references count="3">
          <reference field="4294967294" count="1" selected="0">
            <x v="0"/>
          </reference>
          <reference field="2" count="1" selected="0">
            <x v="5"/>
          </reference>
          <reference field="3" count="1" selected="0">
            <x v="2"/>
          </reference>
        </references>
      </pivotArea>
    </chartFormat>
    <chartFormat chart="5" format="58">
      <pivotArea type="data" outline="0" fieldPosition="0">
        <references count="3">
          <reference field="4294967294" count="1" selected="0">
            <x v="0"/>
          </reference>
          <reference field="2" count="1" selected="0">
            <x v="5"/>
          </reference>
          <reference field="3" count="1" selected="0">
            <x v="3"/>
          </reference>
        </references>
      </pivotArea>
    </chartFormat>
    <chartFormat chart="5" format="59">
      <pivotArea type="data" outline="0" fieldPosition="0">
        <references count="3">
          <reference field="4294967294" count="1" selected="0">
            <x v="0"/>
          </reference>
          <reference field="2" count="1" selected="0">
            <x v="5"/>
          </reference>
          <reference field="3" count="1" selected="0">
            <x v="4"/>
          </reference>
        </references>
      </pivotArea>
    </chartFormat>
    <chartFormat chart="5" format="60">
      <pivotArea type="data" outline="0" fieldPosition="0">
        <references count="3">
          <reference field="4294967294" count="1" selected="0">
            <x v="0"/>
          </reference>
          <reference field="2" count="1" selected="0">
            <x v="6"/>
          </reference>
          <reference field="3" count="1" selected="0">
            <x v="0"/>
          </reference>
        </references>
      </pivotArea>
    </chartFormat>
    <chartFormat chart="5" format="61">
      <pivotArea type="data" outline="0" fieldPosition="0">
        <references count="3">
          <reference field="4294967294" count="1" selected="0">
            <x v="0"/>
          </reference>
          <reference field="2" count="1" selected="0">
            <x v="6"/>
          </reference>
          <reference field="3" count="1" selected="0">
            <x v="1"/>
          </reference>
        </references>
      </pivotArea>
    </chartFormat>
    <chartFormat chart="5" format="62">
      <pivotArea type="data" outline="0" fieldPosition="0">
        <references count="3">
          <reference field="4294967294" count="1" selected="0">
            <x v="0"/>
          </reference>
          <reference field="2" count="1" selected="0">
            <x v="6"/>
          </reference>
          <reference field="3" count="1" selected="0">
            <x v="2"/>
          </reference>
        </references>
      </pivotArea>
    </chartFormat>
    <chartFormat chart="5" format="63">
      <pivotArea type="data" outline="0" fieldPosition="0">
        <references count="3">
          <reference field="4294967294" count="1" selected="0">
            <x v="0"/>
          </reference>
          <reference field="2" count="1" selected="0">
            <x v="6"/>
          </reference>
          <reference field="3" count="1" selected="0">
            <x v="3"/>
          </reference>
        </references>
      </pivotArea>
    </chartFormat>
    <chartFormat chart="5" format="64">
      <pivotArea type="data" outline="0" fieldPosition="0">
        <references count="3">
          <reference field="4294967294" count="1" selected="0">
            <x v="0"/>
          </reference>
          <reference field="2" count="1" selected="0">
            <x v="6"/>
          </reference>
          <reference field="3" count="1" selected="0">
            <x v="4"/>
          </reference>
        </references>
      </pivotArea>
    </chartFormat>
    <chartFormat chart="5" format="65">
      <pivotArea type="data" outline="0" fieldPosition="0">
        <references count="3">
          <reference field="4294967294" count="1" selected="0">
            <x v="0"/>
          </reference>
          <reference field="2" count="1" selected="0">
            <x v="7"/>
          </reference>
          <reference field="3" count="1" selected="0">
            <x v="0"/>
          </reference>
        </references>
      </pivotArea>
    </chartFormat>
    <chartFormat chart="5" format="66">
      <pivotArea type="data" outline="0" fieldPosition="0">
        <references count="3">
          <reference field="4294967294" count="1" selected="0">
            <x v="0"/>
          </reference>
          <reference field="2" count="1" selected="0">
            <x v="7"/>
          </reference>
          <reference field="3" count="1" selected="0">
            <x v="1"/>
          </reference>
        </references>
      </pivotArea>
    </chartFormat>
    <chartFormat chart="5" format="67">
      <pivotArea type="data" outline="0" fieldPosition="0">
        <references count="3">
          <reference field="4294967294" count="1" selected="0">
            <x v="0"/>
          </reference>
          <reference field="2" count="1" selected="0">
            <x v="7"/>
          </reference>
          <reference field="3" count="1" selected="0">
            <x v="2"/>
          </reference>
        </references>
      </pivotArea>
    </chartFormat>
    <chartFormat chart="5" format="68">
      <pivotArea type="data" outline="0" fieldPosition="0">
        <references count="3">
          <reference field="4294967294" count="1" selected="0">
            <x v="0"/>
          </reference>
          <reference field="2" count="1" selected="0">
            <x v="7"/>
          </reference>
          <reference field="3" count="1" selected="0">
            <x v="3"/>
          </reference>
        </references>
      </pivotArea>
    </chartFormat>
    <chartFormat chart="5" format="69">
      <pivotArea type="data" outline="0" fieldPosition="0">
        <references count="3">
          <reference field="4294967294" count="1" selected="0">
            <x v="0"/>
          </reference>
          <reference field="2" count="1" selected="0">
            <x v="7"/>
          </reference>
          <reference field="3" count="1" selected="0">
            <x v="4"/>
          </reference>
        </references>
      </pivotArea>
    </chartFormat>
    <chartFormat chart="5" format="70">
      <pivotArea type="data" outline="0" fieldPosition="0">
        <references count="3">
          <reference field="4294967294" count="1" selected="0">
            <x v="0"/>
          </reference>
          <reference field="2" count="1" selected="0">
            <x v="8"/>
          </reference>
          <reference field="3" count="1" selected="0">
            <x v="0"/>
          </reference>
        </references>
      </pivotArea>
    </chartFormat>
    <chartFormat chart="5" format="71">
      <pivotArea type="data" outline="0" fieldPosition="0">
        <references count="3">
          <reference field="4294967294" count="1" selected="0">
            <x v="0"/>
          </reference>
          <reference field="2" count="1" selected="0">
            <x v="8"/>
          </reference>
          <reference field="3" count="1" selected="0">
            <x v="1"/>
          </reference>
        </references>
      </pivotArea>
    </chartFormat>
    <chartFormat chart="5" format="72">
      <pivotArea type="data" outline="0" fieldPosition="0">
        <references count="3">
          <reference field="4294967294" count="1" selected="0">
            <x v="0"/>
          </reference>
          <reference field="2" count="1" selected="0">
            <x v="8"/>
          </reference>
          <reference field="3" count="1" selected="0">
            <x v="2"/>
          </reference>
        </references>
      </pivotArea>
    </chartFormat>
    <chartFormat chart="5" format="73">
      <pivotArea type="data" outline="0" fieldPosition="0">
        <references count="3">
          <reference field="4294967294" count="1" selected="0">
            <x v="0"/>
          </reference>
          <reference field="2" count="1" selected="0">
            <x v="8"/>
          </reference>
          <reference field="3" count="1" selected="0">
            <x v="3"/>
          </reference>
        </references>
      </pivotArea>
    </chartFormat>
    <chartFormat chart="5" format="74">
      <pivotArea type="data" outline="0" fieldPosition="0">
        <references count="3">
          <reference field="4294967294" count="1" selected="0">
            <x v="0"/>
          </reference>
          <reference field="2" count="1" selected="0">
            <x v="8"/>
          </reference>
          <reference field="3" count="1" selected="0">
            <x v="4"/>
          </reference>
        </references>
      </pivotArea>
    </chartFormat>
    <chartFormat chart="0" format="25">
      <pivotArea type="data" outline="0" fieldPosition="0">
        <references count="3">
          <reference field="4294967294" count="1" selected="0">
            <x v="0"/>
          </reference>
          <reference field="2" count="1" selected="0">
            <x v="3"/>
          </reference>
          <reference field="3" count="1" selected="0">
            <x v="0"/>
          </reference>
        </references>
      </pivotArea>
    </chartFormat>
    <chartFormat chart="0" format="26">
      <pivotArea type="data" outline="0" fieldPosition="0">
        <references count="3">
          <reference field="4294967294" count="1" selected="0">
            <x v="0"/>
          </reference>
          <reference field="2" count="1" selected="0">
            <x v="3"/>
          </reference>
          <reference field="3" count="1" selected="0">
            <x v="1"/>
          </reference>
        </references>
      </pivotArea>
    </chartFormat>
    <chartFormat chart="0" format="27">
      <pivotArea type="data" outline="0" fieldPosition="0">
        <references count="3">
          <reference field="4294967294" count="1" selected="0">
            <x v="0"/>
          </reference>
          <reference field="2" count="1" selected="0">
            <x v="3"/>
          </reference>
          <reference field="3" count="1" selected="0">
            <x v="2"/>
          </reference>
        </references>
      </pivotArea>
    </chartFormat>
    <chartFormat chart="0" format="28">
      <pivotArea type="data" outline="0" fieldPosition="0">
        <references count="3">
          <reference field="4294967294" count="1" selected="0">
            <x v="0"/>
          </reference>
          <reference field="2" count="1" selected="0">
            <x v="3"/>
          </reference>
          <reference field="3" count="1" selected="0">
            <x v="3"/>
          </reference>
        </references>
      </pivotArea>
    </chartFormat>
    <chartFormat chart="0" format="29">
      <pivotArea type="data" outline="0" fieldPosition="0">
        <references count="3">
          <reference field="4294967294" count="1" selected="0">
            <x v="0"/>
          </reference>
          <reference field="2" count="1" selected="0">
            <x v="3"/>
          </reference>
          <reference field="3" count="1" selected="0">
            <x v="4"/>
          </reference>
        </references>
      </pivotArea>
    </chartFormat>
    <chartFormat chart="0" format="30">
      <pivotArea type="data" outline="0" fieldPosition="0">
        <references count="3">
          <reference field="4294967294" count="1" selected="0">
            <x v="0"/>
          </reference>
          <reference field="2" count="1" selected="0">
            <x v="4"/>
          </reference>
          <reference field="3" count="1" selected="0">
            <x v="0"/>
          </reference>
        </references>
      </pivotArea>
    </chartFormat>
    <chartFormat chart="0" format="31">
      <pivotArea type="data" outline="0" fieldPosition="0">
        <references count="3">
          <reference field="4294967294" count="1" selected="0">
            <x v="0"/>
          </reference>
          <reference field="2" count="1" selected="0">
            <x v="4"/>
          </reference>
          <reference field="3" count="1" selected="0">
            <x v="1"/>
          </reference>
        </references>
      </pivotArea>
    </chartFormat>
    <chartFormat chart="0" format="32">
      <pivotArea type="data" outline="0" fieldPosition="0">
        <references count="3">
          <reference field="4294967294" count="1" selected="0">
            <x v="0"/>
          </reference>
          <reference field="2" count="1" selected="0">
            <x v="4"/>
          </reference>
          <reference field="3" count="1" selected="0">
            <x v="2"/>
          </reference>
        </references>
      </pivotArea>
    </chartFormat>
    <chartFormat chart="0" format="33">
      <pivotArea type="data" outline="0" fieldPosition="0">
        <references count="3">
          <reference field="4294967294" count="1" selected="0">
            <x v="0"/>
          </reference>
          <reference field="2" count="1" selected="0">
            <x v="4"/>
          </reference>
          <reference field="3" count="1" selected="0">
            <x v="3"/>
          </reference>
        </references>
      </pivotArea>
    </chartFormat>
    <chartFormat chart="0" format="34">
      <pivotArea type="data" outline="0" fieldPosition="0">
        <references count="3">
          <reference field="4294967294" count="1" selected="0">
            <x v="0"/>
          </reference>
          <reference field="2" count="1" selected="0">
            <x v="4"/>
          </reference>
          <reference field="3" count="1" selected="0">
            <x v="4"/>
          </reference>
        </references>
      </pivotArea>
    </chartFormat>
    <chartFormat chart="0" format="35">
      <pivotArea type="data" outline="0" fieldPosition="0">
        <references count="3">
          <reference field="4294967294" count="1" selected="0">
            <x v="0"/>
          </reference>
          <reference field="2" count="1" selected="0">
            <x v="5"/>
          </reference>
          <reference field="3" count="1" selected="0">
            <x v="0"/>
          </reference>
        </references>
      </pivotArea>
    </chartFormat>
    <chartFormat chart="0" format="36">
      <pivotArea type="data" outline="0" fieldPosition="0">
        <references count="3">
          <reference field="4294967294" count="1" selected="0">
            <x v="0"/>
          </reference>
          <reference field="2" count="1" selected="0">
            <x v="5"/>
          </reference>
          <reference field="3" count="1" selected="0">
            <x v="1"/>
          </reference>
        </references>
      </pivotArea>
    </chartFormat>
    <chartFormat chart="0" format="37">
      <pivotArea type="data" outline="0" fieldPosition="0">
        <references count="3">
          <reference field="4294967294" count="1" selected="0">
            <x v="0"/>
          </reference>
          <reference field="2" count="1" selected="0">
            <x v="5"/>
          </reference>
          <reference field="3" count="1" selected="0">
            <x v="2"/>
          </reference>
        </references>
      </pivotArea>
    </chartFormat>
    <chartFormat chart="0" format="38">
      <pivotArea type="data" outline="0" fieldPosition="0">
        <references count="3">
          <reference field="4294967294" count="1" selected="0">
            <x v="0"/>
          </reference>
          <reference field="2" count="1" selected="0">
            <x v="5"/>
          </reference>
          <reference field="3" count="1" selected="0">
            <x v="3"/>
          </reference>
        </references>
      </pivotArea>
    </chartFormat>
    <chartFormat chart="0" format="39">
      <pivotArea type="data" outline="0" fieldPosition="0">
        <references count="3">
          <reference field="4294967294" count="1" selected="0">
            <x v="0"/>
          </reference>
          <reference field="2" count="1" selected="0">
            <x v="5"/>
          </reference>
          <reference field="3" count="1" selected="0">
            <x v="4"/>
          </reference>
        </references>
      </pivotArea>
    </chartFormat>
    <chartFormat chart="0" format="40">
      <pivotArea type="data" outline="0" fieldPosition="0">
        <references count="3">
          <reference field="4294967294" count="1" selected="0">
            <x v="0"/>
          </reference>
          <reference field="2" count="1" selected="0">
            <x v="6"/>
          </reference>
          <reference field="3" count="1" selected="0">
            <x v="0"/>
          </reference>
        </references>
      </pivotArea>
    </chartFormat>
    <chartFormat chart="0" format="41">
      <pivotArea type="data" outline="0" fieldPosition="0">
        <references count="3">
          <reference field="4294967294" count="1" selected="0">
            <x v="0"/>
          </reference>
          <reference field="2" count="1" selected="0">
            <x v="6"/>
          </reference>
          <reference field="3" count="1" selected="0">
            <x v="1"/>
          </reference>
        </references>
      </pivotArea>
    </chartFormat>
    <chartFormat chart="0" format="42">
      <pivotArea type="data" outline="0" fieldPosition="0">
        <references count="3">
          <reference field="4294967294" count="1" selected="0">
            <x v="0"/>
          </reference>
          <reference field="2" count="1" selected="0">
            <x v="6"/>
          </reference>
          <reference field="3" count="1" selected="0">
            <x v="2"/>
          </reference>
        </references>
      </pivotArea>
    </chartFormat>
    <chartFormat chart="0" format="43">
      <pivotArea type="data" outline="0" fieldPosition="0">
        <references count="3">
          <reference field="4294967294" count="1" selected="0">
            <x v="0"/>
          </reference>
          <reference field="2" count="1" selected="0">
            <x v="6"/>
          </reference>
          <reference field="3" count="1" selected="0">
            <x v="3"/>
          </reference>
        </references>
      </pivotArea>
    </chartFormat>
    <chartFormat chart="0" format="44">
      <pivotArea type="data" outline="0" fieldPosition="0">
        <references count="3">
          <reference field="4294967294" count="1" selected="0">
            <x v="0"/>
          </reference>
          <reference field="2" count="1" selected="0">
            <x v="6"/>
          </reference>
          <reference field="3" count="1" selected="0">
            <x v="4"/>
          </reference>
        </references>
      </pivotArea>
    </chartFormat>
    <chartFormat chart="0" format="45">
      <pivotArea type="data" outline="0" fieldPosition="0">
        <references count="3">
          <reference field="4294967294" count="1" selected="0">
            <x v="0"/>
          </reference>
          <reference field="2" count="1" selected="0">
            <x v="7"/>
          </reference>
          <reference field="3" count="1" selected="0">
            <x v="0"/>
          </reference>
        </references>
      </pivotArea>
    </chartFormat>
    <chartFormat chart="0" format="46">
      <pivotArea type="data" outline="0" fieldPosition="0">
        <references count="3">
          <reference field="4294967294" count="1" selected="0">
            <x v="0"/>
          </reference>
          <reference field="2" count="1" selected="0">
            <x v="7"/>
          </reference>
          <reference field="3" count="1" selected="0">
            <x v="1"/>
          </reference>
        </references>
      </pivotArea>
    </chartFormat>
    <chartFormat chart="0" format="47">
      <pivotArea type="data" outline="0" fieldPosition="0">
        <references count="3">
          <reference field="4294967294" count="1" selected="0">
            <x v="0"/>
          </reference>
          <reference field="2" count="1" selected="0">
            <x v="7"/>
          </reference>
          <reference field="3" count="1" selected="0">
            <x v="2"/>
          </reference>
        </references>
      </pivotArea>
    </chartFormat>
    <chartFormat chart="0" format="48">
      <pivotArea type="data" outline="0" fieldPosition="0">
        <references count="3">
          <reference field="4294967294" count="1" selected="0">
            <x v="0"/>
          </reference>
          <reference field="2" count="1" selected="0">
            <x v="7"/>
          </reference>
          <reference field="3" count="1" selected="0">
            <x v="3"/>
          </reference>
        </references>
      </pivotArea>
    </chartFormat>
    <chartFormat chart="0" format="49">
      <pivotArea type="data" outline="0" fieldPosition="0">
        <references count="3">
          <reference field="4294967294" count="1" selected="0">
            <x v="0"/>
          </reference>
          <reference field="2" count="1" selected="0">
            <x v="7"/>
          </reference>
          <reference field="3" count="1" selected="0">
            <x v="4"/>
          </reference>
        </references>
      </pivotArea>
    </chartFormat>
    <chartFormat chart="0" format="50">
      <pivotArea type="data" outline="0" fieldPosition="0">
        <references count="3">
          <reference field="4294967294" count="1" selected="0">
            <x v="0"/>
          </reference>
          <reference field="2" count="1" selected="0">
            <x v="8"/>
          </reference>
          <reference field="3" count="1" selected="0">
            <x v="0"/>
          </reference>
        </references>
      </pivotArea>
    </chartFormat>
    <chartFormat chart="0" format="51">
      <pivotArea type="data" outline="0" fieldPosition="0">
        <references count="3">
          <reference field="4294967294" count="1" selected="0">
            <x v="0"/>
          </reference>
          <reference field="2" count="1" selected="0">
            <x v="8"/>
          </reference>
          <reference field="3" count="1" selected="0">
            <x v="1"/>
          </reference>
        </references>
      </pivotArea>
    </chartFormat>
    <chartFormat chart="0" format="52">
      <pivotArea type="data" outline="0" fieldPosition="0">
        <references count="3">
          <reference field="4294967294" count="1" selected="0">
            <x v="0"/>
          </reference>
          <reference field="2" count="1" selected="0">
            <x v="8"/>
          </reference>
          <reference field="3" count="1" selected="0">
            <x v="2"/>
          </reference>
        </references>
      </pivotArea>
    </chartFormat>
    <chartFormat chart="0" format="53">
      <pivotArea type="data" outline="0" fieldPosition="0">
        <references count="3">
          <reference field="4294967294" count="1" selected="0">
            <x v="0"/>
          </reference>
          <reference field="2" count="1" selected="0">
            <x v="8"/>
          </reference>
          <reference field="3" count="1" selected="0">
            <x v="3"/>
          </reference>
        </references>
      </pivotArea>
    </chartFormat>
    <chartFormat chart="0" format="54">
      <pivotArea type="data" outline="0" fieldPosition="0">
        <references count="3">
          <reference field="4294967294" count="1" selected="0">
            <x v="0"/>
          </reference>
          <reference field="2" count="1" selected="0">
            <x v="8"/>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EECF7B2-A70F-4A36-9944-8617A85DA4F8}" sourceName="Region">
  <pivotTables>
    <pivotTable tabId="2" name="Total Revenue By Region"/>
    <pivotTable tabId="4" name="P_Model &amp; revenuw"/>
    <pivotTable tabId="5" name="Region Wise Top Producys"/>
    <pivotTable tabId="3" name="Unit Sold By Products"/>
  </pivotTables>
  <data>
    <tabular pivotCacheId="1154507969">
      <items count="5">
        <i x="3" s="1"/>
        <i x="1"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96EFAE5A-9DB3-42BD-B111-13C2B879289F}" sourceName="Products">
  <pivotTables>
    <pivotTable tabId="3" name="Unit Sold By Products"/>
    <pivotTable tabId="4" name="P_Model &amp; revenuw"/>
    <pivotTable tabId="5" name="Region Wise Top Producys"/>
    <pivotTable tabId="2" name="Total Revenue By Region"/>
  </pivotTables>
  <data>
    <tabular pivotCacheId="115450796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_Model1" xr10:uid="{B1E17C3A-1E24-45CE-B5D3-081CF6A506D7}" sourceName="Products Model">
  <pivotTables>
    <pivotTable tabId="3" name="Unit Sold By Products"/>
    <pivotTable tabId="2" name="Total Revenue By Region"/>
    <pivotTable tabId="4" name="P_Model &amp; revenuw"/>
    <pivotTable tabId="5" name="Region Wise Top Producys"/>
  </pivotTables>
  <data>
    <tabular pivotCacheId="1154507969">
      <items count="9">
        <i x="6" s="1"/>
        <i x="5" s="1"/>
        <i x="8" s="1"/>
        <i x="3" s="1"/>
        <i x="7" s="1"/>
        <i x="4"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EDA942A-3255-45C5-BDA3-1A2951916AC5}" cache="Slicer_Region" caption="Region" style="SlicerStyleOther1" rowHeight="209550"/>
  <slicer name="Products 1" xr10:uid="{AFCEC101-E53D-4EAF-AB6A-15674C49C5E8}" cache="Slicer_Products" caption="Products" style="SlicerStyleOther1" rowHeight="209550"/>
  <slicer name="Products Model 2" xr10:uid="{DB0BD702-BE6E-4579-B9A9-43359711B9D3}" cache="Slicer_Products_Model1" caption="Products Model" style="SlicerStyleOther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5189445-6C90-4714-947F-CEB7617B3D7A}" cache="Slicer_Region" caption="Region" style="SlicerStyleOther1"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B187EBCD-086F-436A-BB7D-613869B599C1}" cache="Slicer_Products" caption="Products" style="SlicerStyleOther1" rowHeight="2095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Model" xr10:uid="{B17EB60C-3A85-4BE9-8763-F22176BEDB6E}" cache="Slicer_Products_Model1" caption="Products Model" style="SlicerStyleOther1"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5AEFD3-DFBA-478E-97C8-7C575D01CF9C}" name="Table1" displayName="Table1" ref="A1:I501" totalsRowShown="0" headerRowDxfId="50" dataDxfId="49">
  <autoFilter ref="A1:I501" xr:uid="{035AEFD3-DFBA-478E-97C8-7C575D01CF9C}"/>
  <tableColumns count="9">
    <tableColumn id="1" xr3:uid="{F6F0C13B-C68A-4ADA-ADCA-25EE31F4C4FB}" name="Sale_ID" dataDxfId="48"/>
    <tableColumn id="2" xr3:uid="{4F4998B0-61B0-4252-A4F2-86B6CC195E95}" name="Products" dataDxfId="47"/>
    <tableColumn id="3" xr3:uid="{C3A2B97C-ABAB-4573-BE57-6B978EBAC647}" name="Products Model" dataDxfId="46"/>
    <tableColumn id="4" xr3:uid="{08360705-BBD6-48EB-AA95-3A3D4F4ED6FA}" name="Region" dataDxfId="45"/>
    <tableColumn id="5" xr3:uid="{0E542D05-4CC4-4892-ABCC-8A4E93BDF299}" name="Units_Sold" dataDxfId="44"/>
    <tableColumn id="6" xr3:uid="{B5EF3365-F41E-4301-B429-45A0B8EF0F12}" name="Unit_Price_INR" dataDxfId="43"/>
    <tableColumn id="7" xr3:uid="{EA503D52-D64B-46DB-BD63-15C44A0446EC}" name="Revenue_INR" dataDxfId="42"/>
    <tableColumn id="8" xr3:uid="{E48B36B1-14DF-4E6A-9161-6343C6EA6C34}" name="Conditional Revenue" dataDxfId="41">
      <calculatedColumnFormula>IF(G2&gt;1000000,"High","Low")</calculatedColumnFormula>
    </tableColumn>
    <tableColumn id="9" xr3:uid="{C1CE6B13-F7CF-4E29-8B0F-EBCDD2E2BA76}" name="Product Category" dataDxfId="40">
      <calculatedColumnFormula>IF(B2="MacBook","Laptop",
   IF(B2="iPhone","Phone",
   IF(B2="iPad","Tablet","Other")))</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ACE1-7804-4730-B2C5-0D39A8996C12}">
  <sheetPr codeName="Sheet1"/>
  <dimension ref="A1:Z100"/>
  <sheetViews>
    <sheetView showGridLines="0" tabSelected="1" topLeftCell="A5" zoomScale="35" zoomScaleNormal="100" workbookViewId="0">
      <selection activeCell="AF33" sqref="AF33"/>
    </sheetView>
  </sheetViews>
  <sheetFormatPr defaultRowHeight="13.2" x14ac:dyDescent="0.25"/>
  <cols>
    <col min="18" max="18" width="14.6640625" customWidth="1"/>
    <col min="22" max="22" width="4.21875" customWidth="1"/>
    <col min="25" max="25" width="19.5546875" customWidth="1"/>
  </cols>
  <sheetData>
    <row r="1" spans="1:26" x14ac:dyDescent="0.25">
      <c r="A1" s="15"/>
      <c r="B1" s="15"/>
      <c r="C1" s="15"/>
      <c r="D1" s="16"/>
      <c r="E1" s="16"/>
      <c r="F1" s="16"/>
      <c r="G1" s="16"/>
      <c r="H1" s="16"/>
      <c r="I1" s="16"/>
      <c r="J1" s="16"/>
      <c r="K1" s="16"/>
      <c r="L1" s="16"/>
      <c r="M1" s="16"/>
      <c r="N1" s="16"/>
      <c r="O1" s="16"/>
      <c r="P1" s="16"/>
      <c r="Q1" s="16"/>
      <c r="R1" s="16"/>
      <c r="S1" s="16"/>
      <c r="T1" s="16"/>
      <c r="U1" s="16"/>
      <c r="V1" s="16"/>
      <c r="W1" s="16"/>
      <c r="X1" s="16"/>
      <c r="Y1" s="16"/>
      <c r="Z1" s="16"/>
    </row>
    <row r="2" spans="1:26" x14ac:dyDescent="0.25">
      <c r="A2" s="15"/>
      <c r="B2" s="15"/>
      <c r="C2" s="15"/>
      <c r="D2" s="16"/>
      <c r="E2" s="16"/>
      <c r="F2" s="16"/>
      <c r="G2" s="16"/>
      <c r="H2" s="16"/>
      <c r="I2" s="16"/>
      <c r="J2" s="16"/>
      <c r="K2" s="16"/>
      <c r="L2" s="16"/>
      <c r="M2" s="16"/>
      <c r="N2" s="16"/>
      <c r="O2" s="16"/>
      <c r="P2" s="16"/>
      <c r="Q2" s="16"/>
      <c r="R2" s="16"/>
      <c r="S2" s="16"/>
      <c r="T2" s="16"/>
      <c r="U2" s="16"/>
      <c r="V2" s="16"/>
      <c r="W2" s="16"/>
      <c r="X2" s="16"/>
      <c r="Y2" s="16"/>
      <c r="Z2" s="16"/>
    </row>
    <row r="3" spans="1:26" x14ac:dyDescent="0.25">
      <c r="A3" s="15"/>
      <c r="B3" s="15"/>
      <c r="C3" s="15"/>
      <c r="D3" s="16"/>
      <c r="E3" s="16"/>
      <c r="F3" s="16"/>
      <c r="G3" s="16"/>
      <c r="H3" s="16"/>
      <c r="I3" s="16"/>
      <c r="J3" s="16"/>
      <c r="K3" s="16"/>
      <c r="L3" s="16"/>
      <c r="M3" s="16"/>
      <c r="N3" s="16"/>
      <c r="O3" s="16"/>
      <c r="P3" s="16"/>
      <c r="Q3" s="16"/>
      <c r="R3" s="16"/>
      <c r="S3" s="16"/>
      <c r="T3" s="16"/>
      <c r="U3" s="16"/>
      <c r="V3" s="16"/>
      <c r="W3" s="16"/>
      <c r="X3" s="16"/>
      <c r="Y3" s="16"/>
      <c r="Z3" s="16"/>
    </row>
    <row r="4" spans="1:26" x14ac:dyDescent="0.25">
      <c r="A4" s="15"/>
      <c r="B4" s="15"/>
      <c r="C4" s="15"/>
      <c r="D4" s="16"/>
      <c r="E4" s="16"/>
      <c r="F4" s="16"/>
      <c r="G4" s="16"/>
      <c r="H4" s="16"/>
      <c r="I4" s="16"/>
      <c r="J4" s="16"/>
      <c r="K4" s="16"/>
      <c r="L4" s="16"/>
      <c r="M4" s="16"/>
      <c r="N4" s="16"/>
      <c r="O4" s="16"/>
      <c r="P4" s="16"/>
      <c r="Q4" s="16"/>
      <c r="R4" s="16"/>
      <c r="S4" s="16"/>
      <c r="T4" s="16"/>
      <c r="U4" s="16"/>
      <c r="V4" s="16"/>
      <c r="W4" s="16"/>
      <c r="X4" s="16"/>
      <c r="Y4" s="16"/>
      <c r="Z4" s="16"/>
    </row>
    <row r="5" spans="1:26" x14ac:dyDescent="0.25">
      <c r="A5" s="15"/>
      <c r="B5" s="15"/>
      <c r="C5" s="15"/>
      <c r="D5" s="17"/>
      <c r="E5" s="17"/>
      <c r="F5" s="17"/>
      <c r="G5" s="17"/>
      <c r="H5" s="17"/>
      <c r="I5" s="17"/>
      <c r="J5" s="17"/>
      <c r="K5" s="17"/>
      <c r="L5" s="17"/>
      <c r="M5" s="18"/>
      <c r="N5" s="18"/>
      <c r="O5" s="18"/>
      <c r="P5" s="18"/>
      <c r="Q5" s="18"/>
      <c r="R5" s="18"/>
      <c r="S5" s="18"/>
      <c r="T5" s="18"/>
      <c r="U5" s="18"/>
      <c r="V5" s="18"/>
      <c r="W5" s="18"/>
      <c r="X5" s="18"/>
      <c r="Y5" s="18"/>
      <c r="Z5" s="18"/>
    </row>
    <row r="6" spans="1:26" x14ac:dyDescent="0.25">
      <c r="A6" s="15"/>
      <c r="B6" s="15"/>
      <c r="C6" s="15"/>
      <c r="D6" s="17"/>
      <c r="E6" s="17"/>
      <c r="F6" s="17"/>
      <c r="G6" s="17"/>
      <c r="H6" s="17"/>
      <c r="I6" s="17"/>
      <c r="J6" s="17"/>
      <c r="K6" s="17"/>
      <c r="L6" s="17"/>
      <c r="P6" s="18"/>
      <c r="Q6" s="18"/>
      <c r="R6" s="18"/>
      <c r="S6" s="18"/>
      <c r="T6" s="18"/>
      <c r="U6" s="18"/>
      <c r="V6" s="18"/>
      <c r="W6" s="18"/>
      <c r="X6" s="18"/>
      <c r="Y6" s="18"/>
      <c r="Z6" s="18"/>
    </row>
    <row r="7" spans="1:26" x14ac:dyDescent="0.25">
      <c r="A7" s="15"/>
      <c r="B7" s="15"/>
      <c r="C7" s="15"/>
      <c r="D7" s="17"/>
      <c r="E7" s="17"/>
      <c r="F7" s="17"/>
      <c r="G7" s="17"/>
      <c r="H7" s="17"/>
      <c r="I7" s="17"/>
      <c r="J7" s="17"/>
      <c r="K7" s="17"/>
      <c r="L7" s="17"/>
      <c r="P7" s="18"/>
      <c r="Q7" s="18"/>
      <c r="R7" s="18"/>
      <c r="S7" s="18"/>
      <c r="T7" s="18"/>
      <c r="U7" s="18"/>
      <c r="V7" s="18"/>
      <c r="W7" s="18"/>
      <c r="X7" s="18"/>
      <c r="Y7" s="18"/>
      <c r="Z7" s="18"/>
    </row>
    <row r="8" spans="1:26" x14ac:dyDescent="0.25">
      <c r="A8" s="15"/>
      <c r="B8" s="15"/>
      <c r="C8" s="15"/>
      <c r="D8" s="17"/>
      <c r="E8" s="17"/>
      <c r="F8" s="17"/>
      <c r="G8" s="17"/>
      <c r="H8" s="17"/>
      <c r="I8" s="17"/>
      <c r="J8" s="17"/>
      <c r="K8" s="17"/>
      <c r="L8" s="17"/>
      <c r="M8" s="18"/>
      <c r="N8" s="18"/>
      <c r="O8" s="18"/>
      <c r="P8" s="18"/>
      <c r="Q8" s="18"/>
      <c r="R8" s="18"/>
      <c r="S8" s="18"/>
      <c r="T8" s="18"/>
      <c r="U8" s="18"/>
      <c r="V8" s="18"/>
      <c r="W8" s="18"/>
      <c r="X8" s="18"/>
      <c r="Y8" s="18"/>
      <c r="Z8" s="18"/>
    </row>
    <row r="9" spans="1:26" x14ac:dyDescent="0.25">
      <c r="A9" s="15"/>
      <c r="B9" s="15"/>
      <c r="C9" s="15"/>
      <c r="D9" s="17"/>
      <c r="E9" s="17"/>
      <c r="F9" s="17"/>
      <c r="G9" s="17"/>
      <c r="H9" s="17"/>
      <c r="I9" s="17"/>
      <c r="J9" s="17"/>
      <c r="K9" s="17"/>
      <c r="L9" s="17"/>
      <c r="M9" s="18"/>
      <c r="N9" s="18"/>
      <c r="O9" s="18"/>
      <c r="P9" s="18"/>
      <c r="Q9" s="18"/>
      <c r="R9" s="18"/>
      <c r="S9" s="18"/>
      <c r="T9" s="18"/>
      <c r="U9" s="18"/>
      <c r="V9" s="18"/>
      <c r="W9" s="18"/>
      <c r="X9" s="18"/>
      <c r="Y9" s="18"/>
      <c r="Z9" s="18"/>
    </row>
    <row r="10" spans="1:26" x14ac:dyDescent="0.25">
      <c r="A10" s="15"/>
      <c r="B10" s="15"/>
      <c r="C10" s="15"/>
      <c r="D10" s="17"/>
      <c r="E10" s="17"/>
      <c r="F10" s="17"/>
      <c r="G10" s="17"/>
      <c r="H10" s="17"/>
      <c r="I10" s="17"/>
      <c r="J10" s="17"/>
      <c r="K10" s="17"/>
      <c r="L10" s="17"/>
      <c r="M10" s="18"/>
      <c r="N10" s="18"/>
      <c r="O10" s="18"/>
      <c r="P10" s="18"/>
      <c r="Q10" s="18"/>
      <c r="R10" s="18"/>
      <c r="S10" s="18"/>
      <c r="T10" s="18"/>
      <c r="U10" s="18"/>
      <c r="V10" s="18"/>
      <c r="W10" s="18"/>
      <c r="X10" s="18"/>
      <c r="Y10" s="18"/>
      <c r="Z10" s="18"/>
    </row>
    <row r="11" spans="1:26" x14ac:dyDescent="0.25">
      <c r="A11" s="15"/>
      <c r="B11" s="15"/>
      <c r="C11" s="15"/>
      <c r="D11" s="17"/>
      <c r="E11" s="17"/>
      <c r="F11" s="17"/>
      <c r="G11" s="17"/>
      <c r="H11" s="17"/>
      <c r="I11" s="17"/>
      <c r="J11" s="17"/>
      <c r="K11" s="17"/>
      <c r="L11" s="17"/>
      <c r="M11" s="18"/>
      <c r="N11" s="18"/>
      <c r="O11" s="18"/>
      <c r="P11" s="18"/>
      <c r="Q11" s="18"/>
      <c r="R11" s="18"/>
      <c r="S11" s="18"/>
      <c r="T11" s="18"/>
      <c r="U11" s="18"/>
      <c r="V11" s="18"/>
      <c r="W11" s="18"/>
      <c r="X11" s="18"/>
      <c r="Y11" s="18"/>
      <c r="Z11" s="18"/>
    </row>
    <row r="12" spans="1:26" x14ac:dyDescent="0.25">
      <c r="A12" s="15"/>
      <c r="B12" s="15"/>
      <c r="C12" s="15"/>
      <c r="D12" s="17"/>
      <c r="E12" s="17"/>
      <c r="F12" s="17"/>
      <c r="G12" s="17"/>
      <c r="H12" s="17"/>
      <c r="I12" s="17"/>
      <c r="J12" s="17"/>
      <c r="K12" s="17"/>
      <c r="L12" s="17"/>
      <c r="M12" s="18"/>
      <c r="N12" s="18"/>
      <c r="O12" s="18"/>
      <c r="P12" s="18"/>
      <c r="Q12" s="18"/>
      <c r="R12" s="18"/>
      <c r="S12" s="18"/>
      <c r="T12" s="18"/>
      <c r="U12" s="18"/>
      <c r="V12" s="18"/>
      <c r="W12" s="18"/>
      <c r="X12" s="18"/>
      <c r="Y12" s="18"/>
      <c r="Z12" s="18"/>
    </row>
    <row r="13" spans="1:26" x14ac:dyDescent="0.25">
      <c r="A13" s="15"/>
      <c r="B13" s="15"/>
      <c r="C13" s="15"/>
      <c r="D13" s="17"/>
      <c r="E13" s="17"/>
      <c r="F13" s="17"/>
      <c r="G13" s="17"/>
      <c r="H13" s="17"/>
      <c r="I13" s="17"/>
      <c r="J13" s="17"/>
      <c r="K13" s="17"/>
      <c r="L13" s="17"/>
      <c r="M13" s="18"/>
      <c r="N13" s="18"/>
      <c r="O13" s="18"/>
      <c r="P13" s="18"/>
      <c r="Q13" s="18"/>
      <c r="R13" s="18"/>
      <c r="S13" s="18"/>
      <c r="T13" s="18"/>
      <c r="U13" s="18"/>
      <c r="V13" s="18"/>
      <c r="W13" s="18"/>
      <c r="X13" s="18"/>
      <c r="Y13" s="18"/>
      <c r="Z13" s="18"/>
    </row>
    <row r="14" spans="1:26" x14ac:dyDescent="0.25">
      <c r="A14" s="15"/>
      <c r="B14" s="15"/>
      <c r="C14" s="15"/>
      <c r="D14" s="17"/>
      <c r="E14" s="17"/>
      <c r="F14" s="17"/>
      <c r="G14" s="17"/>
      <c r="H14" s="17"/>
      <c r="I14" s="17"/>
      <c r="J14" s="17"/>
      <c r="K14" s="17"/>
      <c r="L14" s="17"/>
      <c r="M14" s="18"/>
      <c r="N14" s="18"/>
      <c r="O14" s="18"/>
      <c r="P14" s="18"/>
      <c r="Q14" s="18"/>
      <c r="R14" s="18"/>
      <c r="S14" s="18"/>
      <c r="T14" s="18"/>
      <c r="U14" s="18"/>
      <c r="V14" s="18"/>
      <c r="W14" s="18"/>
      <c r="X14" s="18"/>
      <c r="Y14" s="18"/>
      <c r="Z14" s="18"/>
    </row>
    <row r="15" spans="1:26" x14ac:dyDescent="0.25">
      <c r="A15" s="15"/>
      <c r="B15" s="15"/>
      <c r="C15" s="15"/>
      <c r="D15" s="17"/>
      <c r="E15" s="17"/>
      <c r="F15" s="17"/>
      <c r="G15" s="17"/>
      <c r="H15" s="17"/>
      <c r="I15" s="17"/>
      <c r="J15" s="17"/>
      <c r="K15" s="17"/>
      <c r="L15" s="17"/>
      <c r="M15" s="18"/>
      <c r="N15" s="18"/>
      <c r="O15" s="18"/>
      <c r="P15" s="18"/>
      <c r="Q15" s="18"/>
      <c r="R15" s="18"/>
      <c r="S15" s="18"/>
      <c r="T15" s="18"/>
      <c r="U15" s="18"/>
      <c r="V15" s="18"/>
      <c r="W15" s="18"/>
      <c r="X15" s="18"/>
      <c r="Y15" s="18"/>
      <c r="Z15" s="18"/>
    </row>
    <row r="16" spans="1:26" x14ac:dyDescent="0.25">
      <c r="A16" s="15"/>
      <c r="B16" s="15"/>
      <c r="C16" s="15"/>
      <c r="D16" s="17"/>
      <c r="E16" s="17"/>
      <c r="F16" s="17"/>
      <c r="G16" s="17"/>
      <c r="H16" s="17"/>
      <c r="I16" s="17"/>
      <c r="J16" s="17"/>
      <c r="K16" s="17"/>
      <c r="L16" s="17"/>
      <c r="M16" s="18"/>
      <c r="N16" s="18"/>
      <c r="O16" s="18"/>
      <c r="P16" s="18"/>
      <c r="Q16" s="18"/>
      <c r="R16" s="18"/>
      <c r="S16" s="18"/>
      <c r="T16" s="18"/>
      <c r="U16" s="18"/>
      <c r="V16" s="18"/>
      <c r="W16" s="18"/>
      <c r="X16" s="18"/>
      <c r="Y16" s="18"/>
      <c r="Z16" s="18"/>
    </row>
    <row r="17" spans="1:26" x14ac:dyDescent="0.25">
      <c r="A17" s="15"/>
      <c r="B17" s="15"/>
      <c r="C17" s="15"/>
      <c r="D17" s="17"/>
      <c r="E17" s="17"/>
      <c r="F17" s="17"/>
      <c r="G17" s="17"/>
      <c r="H17" s="17"/>
      <c r="I17" s="17"/>
      <c r="J17" s="17"/>
      <c r="K17" s="17"/>
      <c r="L17" s="17"/>
      <c r="M17" s="18"/>
      <c r="N17" s="18"/>
      <c r="O17" s="18"/>
      <c r="P17" s="18"/>
      <c r="Q17" s="18"/>
      <c r="R17" s="18"/>
      <c r="S17" s="18"/>
      <c r="T17" s="18"/>
      <c r="U17" s="18"/>
      <c r="V17" s="18"/>
      <c r="W17" s="18"/>
      <c r="X17" s="18"/>
      <c r="Y17" s="18"/>
      <c r="Z17" s="18"/>
    </row>
    <row r="18" spans="1:26" x14ac:dyDescent="0.25">
      <c r="A18" s="15"/>
      <c r="B18" s="15"/>
      <c r="C18" s="15"/>
      <c r="D18" s="17"/>
      <c r="E18" s="17"/>
      <c r="F18" s="17"/>
      <c r="G18" s="17"/>
      <c r="H18" s="17"/>
      <c r="I18" s="17"/>
      <c r="J18" s="17"/>
      <c r="K18" s="17"/>
      <c r="L18" s="17"/>
      <c r="M18" s="18"/>
      <c r="N18" s="18"/>
      <c r="O18" s="18"/>
      <c r="P18" s="18"/>
      <c r="Q18" s="18"/>
      <c r="R18" s="18"/>
      <c r="S18" s="18"/>
      <c r="T18" s="18"/>
      <c r="U18" s="18"/>
      <c r="V18" s="18"/>
      <c r="W18" s="18"/>
      <c r="X18" s="18"/>
      <c r="Y18" s="18"/>
      <c r="Z18" s="18"/>
    </row>
    <row r="19" spans="1:26" x14ac:dyDescent="0.25">
      <c r="A19" s="15"/>
      <c r="B19" s="15"/>
      <c r="C19" s="15"/>
      <c r="D19" s="17"/>
      <c r="E19" s="17"/>
      <c r="F19" s="17"/>
      <c r="G19" s="17"/>
      <c r="H19" s="17"/>
      <c r="I19" s="17"/>
      <c r="J19" s="17"/>
      <c r="K19" s="17"/>
      <c r="L19" s="17"/>
      <c r="M19" s="18"/>
      <c r="N19" s="18"/>
      <c r="O19" s="18"/>
      <c r="P19" s="18"/>
      <c r="Q19" s="18"/>
      <c r="R19" s="18"/>
      <c r="S19" s="18"/>
      <c r="T19" s="18"/>
      <c r="U19" s="18"/>
      <c r="V19" s="18"/>
      <c r="W19" s="18"/>
      <c r="X19" s="18"/>
      <c r="Y19" s="18"/>
      <c r="Z19" s="18"/>
    </row>
    <row r="20" spans="1:26" x14ac:dyDescent="0.25">
      <c r="A20" s="15"/>
      <c r="B20" s="15"/>
      <c r="C20" s="15"/>
      <c r="D20" s="17"/>
      <c r="E20" s="17"/>
      <c r="F20" s="17"/>
      <c r="G20" s="17"/>
      <c r="H20" s="17"/>
      <c r="I20" s="17"/>
      <c r="J20" s="17"/>
      <c r="K20" s="17"/>
      <c r="L20" s="17"/>
      <c r="M20" s="18"/>
      <c r="N20" s="18"/>
      <c r="O20" s="18"/>
      <c r="P20" s="18"/>
      <c r="Q20" s="18"/>
      <c r="R20" s="18"/>
      <c r="S20" s="18"/>
      <c r="T20" s="18"/>
      <c r="U20" s="18"/>
      <c r="V20" s="18"/>
      <c r="W20" s="18"/>
      <c r="X20" s="18"/>
      <c r="Y20" s="18"/>
      <c r="Z20" s="18"/>
    </row>
    <row r="21" spans="1:26" x14ac:dyDescent="0.25">
      <c r="A21" s="15"/>
      <c r="B21" s="15"/>
      <c r="C21" s="15"/>
      <c r="D21" s="17"/>
      <c r="E21" s="17"/>
      <c r="F21" s="17"/>
      <c r="G21" s="17"/>
      <c r="H21" s="17"/>
      <c r="I21" s="17"/>
      <c r="J21" s="17"/>
      <c r="K21" s="17"/>
      <c r="L21" s="17"/>
      <c r="M21" s="18"/>
      <c r="N21" s="18"/>
      <c r="O21" s="18"/>
      <c r="P21" s="18"/>
      <c r="Q21" s="18"/>
      <c r="R21" s="18"/>
      <c r="S21" s="18"/>
      <c r="T21" s="18"/>
      <c r="U21" s="18"/>
      <c r="V21" s="18"/>
      <c r="W21" s="18"/>
      <c r="X21" s="18"/>
      <c r="Y21" s="18"/>
      <c r="Z21" s="18"/>
    </row>
    <row r="22" spans="1:26" x14ac:dyDescent="0.25">
      <c r="A22" s="15"/>
      <c r="B22" s="15"/>
      <c r="C22" s="15"/>
      <c r="D22" s="17"/>
      <c r="E22" s="17"/>
      <c r="F22" s="17"/>
      <c r="G22" s="17"/>
      <c r="H22" s="17"/>
      <c r="I22" s="17"/>
      <c r="J22" s="17"/>
      <c r="K22" s="17"/>
      <c r="L22" s="17"/>
      <c r="M22" s="18"/>
      <c r="N22" s="18"/>
      <c r="O22" s="18"/>
      <c r="P22" s="18"/>
      <c r="Q22" s="18"/>
      <c r="R22" s="18"/>
      <c r="S22" s="18"/>
      <c r="T22" s="18"/>
      <c r="U22" s="18"/>
      <c r="V22" s="18"/>
      <c r="W22" s="18"/>
      <c r="X22" s="18"/>
      <c r="Y22" s="18"/>
      <c r="Z22" s="18"/>
    </row>
    <row r="23" spans="1:26" x14ac:dyDescent="0.25">
      <c r="A23" s="15"/>
      <c r="B23" s="15"/>
      <c r="C23" s="15"/>
      <c r="D23" s="17"/>
      <c r="E23" s="17"/>
      <c r="F23" s="17"/>
      <c r="G23" s="17"/>
      <c r="H23" s="17"/>
      <c r="I23" s="17"/>
      <c r="J23" s="17"/>
      <c r="K23" s="17"/>
      <c r="L23" s="17"/>
      <c r="M23" s="17"/>
      <c r="N23" s="17"/>
      <c r="O23" s="17"/>
      <c r="P23" s="17"/>
      <c r="Q23" s="17"/>
      <c r="R23" s="17"/>
      <c r="S23" s="17"/>
      <c r="T23" s="17"/>
      <c r="U23" s="17"/>
      <c r="V23" s="17"/>
      <c r="W23" s="17"/>
      <c r="X23" s="17"/>
      <c r="Y23" s="17"/>
      <c r="Z23" s="17"/>
    </row>
    <row r="24" spans="1:26" x14ac:dyDescent="0.25">
      <c r="A24" s="15"/>
      <c r="B24" s="15"/>
      <c r="C24" s="15"/>
      <c r="D24" s="17"/>
      <c r="E24" s="17"/>
      <c r="F24" s="17"/>
      <c r="G24" s="17"/>
      <c r="H24" s="17"/>
      <c r="I24" s="17"/>
      <c r="J24" s="17"/>
      <c r="K24" s="17"/>
      <c r="L24" s="17"/>
      <c r="M24" s="17"/>
      <c r="N24" s="17"/>
      <c r="O24" s="17"/>
      <c r="P24" s="17"/>
      <c r="Q24" s="17"/>
      <c r="R24" s="17"/>
      <c r="S24" s="17"/>
      <c r="T24" s="17"/>
      <c r="U24" s="17"/>
      <c r="V24" s="17"/>
      <c r="W24" s="17"/>
      <c r="X24" s="17"/>
      <c r="Y24" s="17"/>
      <c r="Z24" s="17"/>
    </row>
    <row r="25" spans="1:26" x14ac:dyDescent="0.25">
      <c r="A25" s="15"/>
      <c r="B25" s="15"/>
      <c r="C25" s="15"/>
      <c r="D25" s="17"/>
      <c r="E25" s="17"/>
      <c r="F25" s="17"/>
      <c r="G25" s="17"/>
      <c r="H25" s="17"/>
      <c r="I25" s="17"/>
      <c r="J25" s="17"/>
      <c r="K25" s="17"/>
      <c r="L25" s="17"/>
      <c r="M25" s="17"/>
      <c r="N25" s="17"/>
      <c r="O25" s="17"/>
      <c r="P25" s="17"/>
      <c r="Q25" s="17"/>
      <c r="R25" s="17"/>
      <c r="S25" s="17"/>
      <c r="T25" s="17"/>
      <c r="U25" s="17"/>
      <c r="V25" s="17"/>
      <c r="W25" s="17"/>
      <c r="X25" s="17"/>
      <c r="Y25" s="17"/>
      <c r="Z25" s="17"/>
    </row>
    <row r="26" spans="1:26" x14ac:dyDescent="0.25">
      <c r="A26" s="15"/>
      <c r="B26" s="15"/>
      <c r="C26" s="15"/>
      <c r="D26" s="17"/>
      <c r="E26" s="17"/>
      <c r="F26" s="17"/>
      <c r="G26" s="17"/>
      <c r="H26" s="17"/>
      <c r="I26" s="17"/>
      <c r="J26" s="17"/>
      <c r="K26" s="17"/>
      <c r="L26" s="17"/>
      <c r="M26" s="17"/>
      <c r="N26" s="17"/>
      <c r="O26" s="17"/>
      <c r="P26" s="17"/>
      <c r="Q26" s="17"/>
      <c r="R26" s="17"/>
      <c r="S26" s="17"/>
      <c r="T26" s="17"/>
      <c r="U26" s="17"/>
      <c r="V26" s="17"/>
      <c r="W26" s="17"/>
      <c r="X26" s="17"/>
      <c r="Y26" s="17"/>
      <c r="Z26" s="17"/>
    </row>
    <row r="27" spans="1:26" x14ac:dyDescent="0.25">
      <c r="A27" s="15"/>
      <c r="B27" s="15"/>
      <c r="C27" s="15"/>
      <c r="D27" s="17"/>
      <c r="E27" s="17"/>
      <c r="F27" s="17"/>
      <c r="G27" s="17"/>
      <c r="H27" s="17"/>
      <c r="I27" s="17"/>
      <c r="J27" s="17"/>
      <c r="K27" s="17"/>
      <c r="L27" s="17"/>
      <c r="M27" s="17"/>
      <c r="N27" s="17"/>
      <c r="O27" s="17"/>
      <c r="P27" s="17"/>
      <c r="Q27" s="17"/>
      <c r="R27" s="17"/>
      <c r="S27" s="17"/>
      <c r="T27" s="17"/>
      <c r="U27" s="17"/>
      <c r="V27" s="17"/>
      <c r="W27" s="17"/>
      <c r="X27" s="17"/>
      <c r="Y27" s="17"/>
      <c r="Z27" s="17"/>
    </row>
    <row r="28" spans="1:26" x14ac:dyDescent="0.25">
      <c r="A28" s="15"/>
      <c r="B28" s="15"/>
      <c r="C28" s="15"/>
      <c r="D28" s="17"/>
      <c r="E28" s="17"/>
      <c r="F28" s="17"/>
      <c r="G28" s="17"/>
      <c r="H28" s="17"/>
      <c r="I28" s="17"/>
      <c r="J28" s="17"/>
      <c r="K28" s="17"/>
      <c r="L28" s="17"/>
      <c r="M28" s="17"/>
      <c r="N28" s="17"/>
      <c r="O28" s="17"/>
      <c r="P28" s="17"/>
      <c r="Q28" s="17"/>
      <c r="R28" s="17"/>
      <c r="S28" s="17"/>
      <c r="T28" s="17"/>
      <c r="U28" s="17"/>
      <c r="V28" s="17"/>
      <c r="W28" s="17"/>
      <c r="X28" s="17"/>
      <c r="Y28" s="17"/>
      <c r="Z28" s="17"/>
    </row>
    <row r="29" spans="1:26" x14ac:dyDescent="0.25">
      <c r="A29" s="15"/>
      <c r="B29" s="15"/>
      <c r="C29" s="15"/>
      <c r="D29" s="17"/>
      <c r="E29" s="17"/>
      <c r="F29" s="17"/>
      <c r="G29" s="17"/>
      <c r="H29" s="17"/>
      <c r="I29" s="17"/>
      <c r="J29" s="17"/>
      <c r="K29" s="17"/>
      <c r="L29" s="17"/>
      <c r="M29" s="17"/>
      <c r="N29" s="17"/>
      <c r="O29" s="17"/>
      <c r="P29" s="17"/>
      <c r="Q29" s="17"/>
      <c r="R29" s="17"/>
      <c r="S29" s="17"/>
      <c r="T29" s="17"/>
      <c r="U29" s="17"/>
      <c r="V29" s="17"/>
      <c r="W29" s="17"/>
      <c r="X29" s="17"/>
      <c r="Y29" s="17"/>
      <c r="Z29" s="17"/>
    </row>
    <row r="30" spans="1:26" x14ac:dyDescent="0.25">
      <c r="A30" s="15"/>
      <c r="B30" s="15"/>
      <c r="C30" s="15"/>
      <c r="D30" s="17"/>
      <c r="E30" s="17"/>
      <c r="F30" s="17"/>
      <c r="G30" s="17"/>
      <c r="H30" s="17"/>
      <c r="I30" s="17"/>
      <c r="J30" s="17"/>
      <c r="K30" s="17"/>
      <c r="L30" s="17"/>
      <c r="M30" s="17"/>
      <c r="N30" s="17"/>
      <c r="O30" s="17"/>
      <c r="P30" s="17"/>
      <c r="Q30" s="17"/>
      <c r="R30" s="17"/>
      <c r="S30" s="17"/>
      <c r="T30" s="17"/>
      <c r="U30" s="17"/>
      <c r="V30" s="17"/>
      <c r="W30" s="17"/>
      <c r="X30" s="17"/>
      <c r="Y30" s="17"/>
      <c r="Z30" s="17"/>
    </row>
    <row r="31" spans="1:26" x14ac:dyDescent="0.25">
      <c r="A31" s="15"/>
      <c r="B31" s="15"/>
      <c r="C31" s="15"/>
      <c r="D31" s="17"/>
      <c r="E31" s="17"/>
      <c r="F31" s="17"/>
      <c r="G31" s="17"/>
      <c r="H31" s="17"/>
      <c r="I31" s="17"/>
      <c r="J31" s="17"/>
      <c r="K31" s="17"/>
      <c r="L31" s="17"/>
      <c r="M31" s="17"/>
      <c r="N31" s="17"/>
      <c r="O31" s="17"/>
      <c r="P31" s="17"/>
      <c r="Q31" s="17"/>
      <c r="R31" s="17"/>
      <c r="S31" s="17"/>
      <c r="T31" s="17"/>
      <c r="U31" s="17"/>
      <c r="V31" s="17"/>
      <c r="W31" s="17"/>
      <c r="X31" s="17"/>
      <c r="Y31" s="17"/>
      <c r="Z31" s="17"/>
    </row>
    <row r="32" spans="1:26" x14ac:dyDescent="0.25">
      <c r="A32" s="15"/>
      <c r="B32" s="15"/>
      <c r="C32" s="15"/>
      <c r="D32" s="17"/>
      <c r="E32" s="17"/>
      <c r="F32" s="17"/>
      <c r="G32" s="17"/>
      <c r="H32" s="17"/>
      <c r="I32" s="17"/>
      <c r="J32" s="17"/>
      <c r="K32" s="17"/>
      <c r="L32" s="17"/>
      <c r="M32" s="17"/>
      <c r="N32" s="17"/>
      <c r="O32" s="17"/>
      <c r="P32" s="17"/>
      <c r="Q32" s="17"/>
      <c r="R32" s="17"/>
      <c r="S32" s="17"/>
      <c r="T32" s="17"/>
      <c r="U32" s="17"/>
      <c r="V32" s="17"/>
      <c r="W32" s="17"/>
      <c r="X32" s="17"/>
      <c r="Y32" s="17"/>
      <c r="Z32" s="17"/>
    </row>
    <row r="33" spans="1:26" x14ac:dyDescent="0.25">
      <c r="A33" s="15"/>
      <c r="B33" s="15"/>
      <c r="C33" s="15"/>
      <c r="D33" s="17"/>
      <c r="E33" s="17"/>
      <c r="F33" s="17"/>
      <c r="G33" s="17"/>
      <c r="H33" s="17"/>
      <c r="I33" s="17"/>
      <c r="J33" s="17"/>
      <c r="K33" s="17"/>
      <c r="L33" s="17"/>
      <c r="M33" s="17"/>
      <c r="N33" s="17"/>
      <c r="O33" s="17"/>
      <c r="P33" s="17"/>
      <c r="Q33" s="17"/>
      <c r="R33" s="17"/>
      <c r="S33" s="17"/>
      <c r="T33" s="17"/>
      <c r="U33" s="17"/>
      <c r="V33" s="17"/>
      <c r="W33" s="17"/>
      <c r="X33" s="17"/>
      <c r="Y33" s="17"/>
      <c r="Z33" s="17"/>
    </row>
    <row r="34" spans="1:26" x14ac:dyDescent="0.25">
      <c r="A34" s="15"/>
      <c r="B34" s="15"/>
      <c r="C34" s="15"/>
      <c r="D34" s="17"/>
      <c r="E34" s="17"/>
      <c r="F34" s="17"/>
      <c r="G34" s="17"/>
      <c r="H34" s="17"/>
      <c r="I34" s="17"/>
      <c r="J34" s="17"/>
      <c r="K34" s="17"/>
      <c r="L34" s="17"/>
      <c r="M34" s="17"/>
      <c r="N34" s="17"/>
      <c r="O34" s="17"/>
      <c r="P34" s="17"/>
      <c r="Q34" s="17"/>
      <c r="R34" s="17"/>
      <c r="S34" s="17"/>
      <c r="T34" s="17"/>
      <c r="U34" s="17"/>
      <c r="V34" s="17"/>
      <c r="W34" s="17"/>
      <c r="X34" s="17"/>
      <c r="Y34" s="17"/>
      <c r="Z34" s="17"/>
    </row>
    <row r="35" spans="1:26" x14ac:dyDescent="0.25">
      <c r="A35" s="15"/>
      <c r="B35" s="15"/>
      <c r="C35" s="15"/>
      <c r="D35" s="17"/>
      <c r="E35" s="17"/>
      <c r="F35" s="17"/>
      <c r="G35" s="17"/>
      <c r="H35" s="17"/>
      <c r="I35" s="17"/>
      <c r="J35" s="17"/>
      <c r="K35" s="17"/>
      <c r="L35" s="17"/>
      <c r="M35" s="17"/>
      <c r="N35" s="17"/>
      <c r="O35" s="17"/>
      <c r="P35" s="17"/>
      <c r="Q35" s="17"/>
      <c r="R35" s="17"/>
      <c r="S35" s="17"/>
      <c r="T35" s="17"/>
      <c r="U35" s="17"/>
      <c r="V35" s="17"/>
      <c r="W35" s="17"/>
      <c r="X35" s="17"/>
      <c r="Y35" s="17"/>
      <c r="Z35" s="17"/>
    </row>
    <row r="36" spans="1:26" x14ac:dyDescent="0.25">
      <c r="A36" s="15"/>
      <c r="B36" s="15"/>
      <c r="C36" s="15"/>
      <c r="D36" s="17"/>
      <c r="E36" s="17"/>
      <c r="F36" s="17"/>
      <c r="G36" s="17"/>
      <c r="H36" s="17"/>
      <c r="I36" s="17"/>
      <c r="J36" s="17"/>
      <c r="K36" s="17"/>
      <c r="L36" s="17"/>
      <c r="M36" s="17"/>
      <c r="N36" s="17"/>
      <c r="O36" s="17"/>
      <c r="P36" s="17"/>
      <c r="Q36" s="17"/>
      <c r="R36" s="17"/>
      <c r="S36" s="17"/>
      <c r="T36" s="17"/>
      <c r="U36" s="17"/>
      <c r="V36" s="17"/>
      <c r="W36" s="17"/>
      <c r="X36" s="17"/>
      <c r="Y36" s="17"/>
      <c r="Z36" s="17"/>
    </row>
    <row r="37" spans="1:26" x14ac:dyDescent="0.25">
      <c r="A37" s="15"/>
      <c r="B37" s="15"/>
      <c r="C37" s="15"/>
      <c r="D37" s="17"/>
      <c r="E37" s="17"/>
      <c r="F37" s="17"/>
      <c r="G37" s="17"/>
      <c r="H37" s="17"/>
      <c r="I37" s="17"/>
      <c r="J37" s="17"/>
      <c r="K37" s="17"/>
      <c r="L37" s="17"/>
      <c r="M37" s="17"/>
      <c r="N37" s="17"/>
      <c r="O37" s="17"/>
      <c r="P37" s="17"/>
      <c r="Q37" s="17"/>
      <c r="R37" s="17"/>
      <c r="S37" s="17"/>
      <c r="T37" s="17"/>
      <c r="U37" s="17"/>
      <c r="V37" s="17"/>
      <c r="W37" s="17"/>
      <c r="X37" s="17"/>
      <c r="Y37" s="17"/>
      <c r="Z37" s="17"/>
    </row>
    <row r="38" spans="1:26" x14ac:dyDescent="0.25">
      <c r="A38" s="15"/>
      <c r="B38" s="15"/>
      <c r="C38" s="15"/>
      <c r="D38" s="17"/>
      <c r="E38" s="17"/>
      <c r="F38" s="17"/>
      <c r="G38" s="17"/>
      <c r="H38" s="17"/>
      <c r="I38" s="17"/>
      <c r="J38" s="17"/>
      <c r="K38" s="17"/>
      <c r="L38" s="17"/>
      <c r="M38" s="17"/>
      <c r="N38" s="17"/>
      <c r="O38" s="17"/>
      <c r="P38" s="17"/>
      <c r="Q38" s="17"/>
      <c r="R38" s="17"/>
      <c r="S38" s="17"/>
      <c r="T38" s="17"/>
      <c r="U38" s="17"/>
      <c r="V38" s="17"/>
      <c r="W38" s="17"/>
      <c r="X38" s="17"/>
      <c r="Y38" s="17"/>
      <c r="Z38" s="17"/>
    </row>
    <row r="39" spans="1:26" x14ac:dyDescent="0.25">
      <c r="A39" s="15"/>
      <c r="B39" s="15"/>
      <c r="C39" s="15"/>
      <c r="D39" s="17"/>
      <c r="E39" s="17"/>
      <c r="F39" s="17"/>
      <c r="G39" s="17"/>
      <c r="H39" s="17"/>
      <c r="I39" s="17"/>
      <c r="J39" s="17"/>
      <c r="K39" s="17"/>
      <c r="L39" s="17"/>
      <c r="M39" s="17"/>
      <c r="N39" s="17"/>
      <c r="O39" s="17"/>
      <c r="P39" s="17"/>
      <c r="Q39" s="17"/>
      <c r="R39" s="17"/>
      <c r="S39" s="17"/>
      <c r="T39" s="17"/>
      <c r="U39" s="17"/>
      <c r="V39" s="17"/>
      <c r="W39" s="17"/>
      <c r="X39" s="17"/>
      <c r="Y39" s="17"/>
      <c r="Z39" s="17"/>
    </row>
    <row r="40" spans="1:26" x14ac:dyDescent="0.25">
      <c r="A40" s="15"/>
      <c r="B40" s="15"/>
      <c r="C40" s="15"/>
      <c r="D40" s="17"/>
      <c r="E40" s="17"/>
      <c r="F40" s="17"/>
      <c r="G40" s="17"/>
      <c r="H40" s="17"/>
      <c r="I40" s="17"/>
      <c r="J40" s="17"/>
      <c r="K40" s="17"/>
      <c r="L40" s="17"/>
      <c r="M40" s="17"/>
      <c r="N40" s="17"/>
      <c r="O40" s="17"/>
      <c r="P40" s="17"/>
      <c r="Q40" s="17"/>
      <c r="R40" s="17"/>
      <c r="S40" s="17"/>
      <c r="T40" s="17"/>
      <c r="U40" s="17"/>
      <c r="V40" s="17"/>
      <c r="W40" s="17"/>
      <c r="X40" s="17"/>
      <c r="Y40" s="17"/>
      <c r="Z40" s="17"/>
    </row>
    <row r="41" spans="1:26" x14ac:dyDescent="0.25">
      <c r="A41" s="15"/>
      <c r="B41" s="15"/>
      <c r="C41" s="15"/>
      <c r="D41" s="17"/>
      <c r="E41" s="17"/>
      <c r="F41" s="17"/>
      <c r="G41" s="17"/>
      <c r="H41" s="17"/>
      <c r="I41" s="17"/>
      <c r="J41" s="17"/>
      <c r="K41" s="17"/>
      <c r="L41" s="17"/>
      <c r="M41" s="17"/>
      <c r="N41" s="17"/>
      <c r="O41" s="17"/>
      <c r="P41" s="17"/>
      <c r="Q41" s="17"/>
      <c r="R41" s="17"/>
      <c r="S41" s="17"/>
      <c r="T41" s="17"/>
      <c r="U41" s="17"/>
      <c r="V41" s="17"/>
      <c r="W41" s="17"/>
      <c r="X41" s="17"/>
      <c r="Y41" s="17"/>
      <c r="Z41" s="17"/>
    </row>
    <row r="42" spans="1:26" x14ac:dyDescent="0.25">
      <c r="A42" s="15"/>
      <c r="B42" s="15"/>
      <c r="C42" s="15"/>
      <c r="D42" s="17"/>
      <c r="E42" s="17"/>
      <c r="F42" s="17"/>
      <c r="G42" s="17"/>
      <c r="H42" s="17"/>
      <c r="I42" s="17"/>
      <c r="J42" s="17"/>
      <c r="K42" s="17"/>
      <c r="L42" s="17"/>
      <c r="M42" s="17"/>
      <c r="N42" s="17"/>
      <c r="O42" s="17"/>
      <c r="P42" s="17"/>
      <c r="Q42" s="17"/>
      <c r="R42" s="17"/>
      <c r="S42" s="17"/>
      <c r="T42" s="17"/>
      <c r="U42" s="17"/>
      <c r="V42" s="17"/>
      <c r="W42" s="17"/>
      <c r="X42" s="17"/>
      <c r="Y42" s="17"/>
      <c r="Z42" s="17"/>
    </row>
    <row r="43" spans="1:26" x14ac:dyDescent="0.25">
      <c r="A43" s="15"/>
      <c r="B43" s="15"/>
      <c r="C43" s="15"/>
      <c r="D43" s="17"/>
      <c r="E43" s="17"/>
      <c r="F43" s="17"/>
      <c r="G43" s="17"/>
      <c r="H43" s="17"/>
      <c r="I43" s="17"/>
      <c r="J43" s="17"/>
      <c r="K43" s="17"/>
      <c r="L43" s="17"/>
      <c r="M43" s="17"/>
      <c r="N43" s="17"/>
      <c r="O43" s="17"/>
      <c r="P43" s="17"/>
      <c r="Q43" s="17"/>
      <c r="R43" s="17"/>
      <c r="S43" s="17"/>
      <c r="T43" s="17"/>
      <c r="U43" s="17"/>
      <c r="V43" s="17"/>
      <c r="W43" s="17"/>
      <c r="X43" s="17"/>
      <c r="Y43" s="17"/>
      <c r="Z43" s="17"/>
    </row>
    <row r="44" spans="1:26" x14ac:dyDescent="0.25">
      <c r="A44" s="15"/>
      <c r="B44" s="15"/>
      <c r="C44" s="15"/>
      <c r="D44" s="17"/>
      <c r="E44" s="17"/>
      <c r="F44" s="17"/>
      <c r="G44" s="17"/>
      <c r="H44" s="17"/>
      <c r="I44" s="17"/>
      <c r="J44" s="17"/>
      <c r="K44" s="17"/>
      <c r="L44" s="17"/>
      <c r="M44" s="17"/>
      <c r="N44" s="17"/>
      <c r="O44" s="17"/>
      <c r="P44" s="17"/>
      <c r="Q44" s="17"/>
      <c r="R44" s="17"/>
      <c r="S44" s="17"/>
      <c r="T44" s="17"/>
      <c r="U44" s="17"/>
      <c r="V44" s="17"/>
      <c r="W44" s="17"/>
      <c r="X44" s="17"/>
      <c r="Y44" s="17"/>
      <c r="Z44" s="17"/>
    </row>
    <row r="45" spans="1:26" x14ac:dyDescent="0.25">
      <c r="A45" s="15"/>
      <c r="B45" s="15"/>
      <c r="C45" s="15"/>
      <c r="D45" s="17"/>
      <c r="E45" s="17"/>
      <c r="F45" s="17"/>
      <c r="G45" s="17"/>
      <c r="H45" s="17"/>
      <c r="I45" s="17"/>
      <c r="J45" s="17"/>
      <c r="K45" s="17"/>
      <c r="L45" s="17"/>
      <c r="M45" s="17"/>
      <c r="N45" s="17"/>
      <c r="O45" s="17"/>
      <c r="P45" s="17"/>
      <c r="Q45" s="17"/>
      <c r="R45" s="17"/>
      <c r="S45" s="17"/>
      <c r="T45" s="17"/>
      <c r="U45" s="17"/>
      <c r="V45" s="17"/>
      <c r="W45" s="17"/>
      <c r="X45" s="17"/>
      <c r="Y45" s="17"/>
      <c r="Z45" s="17"/>
    </row>
    <row r="46" spans="1:26" x14ac:dyDescent="0.25">
      <c r="A46" s="15"/>
      <c r="B46" s="15"/>
      <c r="C46" s="15"/>
      <c r="D46" s="17"/>
      <c r="E46" s="17"/>
      <c r="F46" s="17"/>
      <c r="G46" s="17"/>
      <c r="H46" s="17"/>
      <c r="I46" s="17"/>
      <c r="J46" s="17"/>
      <c r="K46" s="17"/>
      <c r="L46" s="17"/>
      <c r="M46" s="17"/>
      <c r="N46" s="17"/>
      <c r="O46" s="17"/>
      <c r="P46" s="17"/>
      <c r="Q46" s="17"/>
      <c r="R46" s="17"/>
      <c r="S46" s="17"/>
      <c r="T46" s="17"/>
      <c r="U46" s="17"/>
      <c r="V46" s="17"/>
      <c r="W46" s="17"/>
      <c r="X46" s="17"/>
      <c r="Y46" s="17"/>
      <c r="Z46" s="17"/>
    </row>
    <row r="47" spans="1:26" x14ac:dyDescent="0.25">
      <c r="A47" s="15"/>
      <c r="B47" s="15"/>
      <c r="C47" s="15"/>
      <c r="D47" s="17"/>
      <c r="E47" s="17"/>
      <c r="F47" s="17"/>
      <c r="G47" s="17"/>
      <c r="H47" s="17"/>
      <c r="I47" s="17"/>
      <c r="J47" s="17"/>
      <c r="K47" s="17"/>
      <c r="L47" s="17"/>
      <c r="M47" s="17"/>
      <c r="N47" s="17"/>
      <c r="O47" s="17"/>
      <c r="P47" s="17"/>
      <c r="Q47" s="17"/>
      <c r="R47" s="17"/>
      <c r="S47" s="17"/>
      <c r="T47" s="17"/>
      <c r="U47" s="17"/>
      <c r="V47" s="17"/>
      <c r="W47" s="17"/>
      <c r="X47" s="17"/>
      <c r="Y47" s="17"/>
      <c r="Z47" s="17"/>
    </row>
    <row r="48" spans="1:26" x14ac:dyDescent="0.25">
      <c r="A48" s="15"/>
      <c r="B48" s="15"/>
      <c r="C48" s="15"/>
      <c r="D48" s="17"/>
      <c r="E48" s="17"/>
      <c r="F48" s="17"/>
      <c r="G48" s="17"/>
      <c r="H48" s="17"/>
      <c r="I48" s="17"/>
      <c r="J48" s="17"/>
      <c r="K48" s="17"/>
      <c r="L48" s="17"/>
      <c r="M48" s="17"/>
      <c r="N48" s="17"/>
      <c r="O48" s="17"/>
      <c r="P48" s="17"/>
      <c r="Q48" s="17"/>
      <c r="R48" s="17"/>
      <c r="S48" s="17"/>
      <c r="T48" s="17"/>
      <c r="U48" s="17"/>
      <c r="V48" s="17"/>
      <c r="W48" s="17"/>
      <c r="X48" s="17"/>
      <c r="Y48" s="17"/>
      <c r="Z48" s="17"/>
    </row>
    <row r="49" spans="1:26" x14ac:dyDescent="0.25">
      <c r="A49" s="15"/>
      <c r="B49" s="15"/>
      <c r="C49" s="15"/>
      <c r="D49" s="17"/>
      <c r="E49" s="17"/>
      <c r="F49" s="17"/>
      <c r="G49" s="17"/>
      <c r="H49" s="17"/>
      <c r="I49" s="17"/>
      <c r="J49" s="17"/>
      <c r="K49" s="17"/>
      <c r="L49" s="17"/>
      <c r="M49" s="17"/>
      <c r="N49" s="17"/>
      <c r="O49" s="17"/>
      <c r="P49" s="17"/>
      <c r="Q49" s="17"/>
      <c r="R49" s="17"/>
      <c r="S49" s="17"/>
      <c r="T49" s="17"/>
      <c r="U49" s="17"/>
      <c r="V49" s="17"/>
      <c r="W49" s="17"/>
      <c r="X49" s="17"/>
      <c r="Y49" s="17"/>
      <c r="Z49" s="17"/>
    </row>
    <row r="50" spans="1:26" x14ac:dyDescent="0.25">
      <c r="A50" s="15"/>
      <c r="B50" s="15"/>
      <c r="C50" s="15"/>
      <c r="D50" s="17"/>
      <c r="E50" s="17"/>
      <c r="F50" s="17"/>
      <c r="G50" s="17"/>
      <c r="H50" s="17"/>
      <c r="I50" s="17"/>
      <c r="J50" s="17"/>
      <c r="K50" s="17"/>
      <c r="L50" s="17"/>
      <c r="M50" s="17"/>
      <c r="N50" s="17"/>
      <c r="O50" s="17"/>
      <c r="P50" s="17"/>
      <c r="Q50" s="17"/>
      <c r="R50" s="17"/>
      <c r="S50" s="17"/>
      <c r="T50" s="17"/>
      <c r="U50" s="17"/>
      <c r="V50" s="17"/>
      <c r="W50" s="17"/>
      <c r="X50" s="17"/>
      <c r="Y50" s="17"/>
      <c r="Z50" s="17"/>
    </row>
    <row r="51" spans="1:26" x14ac:dyDescent="0.25">
      <c r="A51" s="15"/>
      <c r="B51" s="15"/>
      <c r="C51" s="15"/>
      <c r="D51" s="17"/>
      <c r="E51" s="17"/>
      <c r="F51" s="17"/>
      <c r="G51" s="17"/>
      <c r="H51" s="17"/>
      <c r="I51" s="17"/>
      <c r="J51" s="17"/>
      <c r="K51" s="17"/>
      <c r="L51" s="17"/>
      <c r="M51" s="17"/>
      <c r="N51" s="17"/>
      <c r="O51" s="17"/>
      <c r="P51" s="17"/>
      <c r="Q51" s="17"/>
      <c r="R51" s="17"/>
      <c r="S51" s="17"/>
      <c r="T51" s="17"/>
      <c r="U51" s="17"/>
      <c r="V51" s="17"/>
      <c r="W51" s="17"/>
      <c r="X51" s="17"/>
      <c r="Y51" s="17"/>
      <c r="Z51" s="17"/>
    </row>
    <row r="52" spans="1:26" x14ac:dyDescent="0.25">
      <c r="A52" s="15"/>
      <c r="B52" s="15"/>
      <c r="C52" s="15"/>
      <c r="D52" s="17"/>
      <c r="E52" s="17"/>
      <c r="F52" s="17"/>
      <c r="G52" s="17"/>
      <c r="H52" s="17"/>
      <c r="I52" s="17"/>
      <c r="J52" s="17"/>
      <c r="K52" s="17"/>
      <c r="L52" s="17"/>
      <c r="M52" s="17"/>
      <c r="N52" s="17"/>
      <c r="O52" s="17"/>
      <c r="P52" s="17"/>
      <c r="Q52" s="17"/>
      <c r="R52" s="17"/>
      <c r="S52" s="17"/>
      <c r="T52" s="17"/>
      <c r="U52" s="17"/>
      <c r="V52" s="17"/>
      <c r="W52" s="17"/>
      <c r="X52" s="17"/>
      <c r="Y52" s="17"/>
      <c r="Z52" s="17"/>
    </row>
    <row r="53" spans="1:26" x14ac:dyDescent="0.25">
      <c r="A53" s="15"/>
      <c r="B53" s="15"/>
      <c r="C53" s="15"/>
      <c r="D53" s="17"/>
      <c r="E53" s="17"/>
      <c r="F53" s="17"/>
      <c r="G53" s="17"/>
      <c r="H53" s="17"/>
      <c r="I53" s="17"/>
      <c r="J53" s="17"/>
      <c r="K53" s="17"/>
      <c r="L53" s="17"/>
      <c r="M53" s="17"/>
      <c r="N53" s="17"/>
      <c r="O53" s="17"/>
      <c r="P53" s="17"/>
      <c r="Q53" s="17"/>
      <c r="R53" s="17"/>
      <c r="S53" s="17"/>
      <c r="T53" s="17"/>
      <c r="U53" s="17"/>
      <c r="V53" s="17"/>
      <c r="W53" s="17"/>
      <c r="X53" s="17"/>
      <c r="Y53" s="17"/>
      <c r="Z53" s="17"/>
    </row>
    <row r="54" spans="1:26" x14ac:dyDescent="0.25">
      <c r="A54" s="15"/>
      <c r="B54" s="15"/>
      <c r="C54" s="15"/>
      <c r="D54" s="17"/>
      <c r="E54" s="17"/>
      <c r="F54" s="17"/>
      <c r="G54" s="17"/>
      <c r="H54" s="17"/>
      <c r="I54" s="17"/>
      <c r="J54" s="17"/>
      <c r="K54" s="17"/>
      <c r="L54" s="17"/>
      <c r="M54" s="17"/>
      <c r="N54" s="17"/>
      <c r="O54" s="17"/>
      <c r="P54" s="17"/>
      <c r="Q54" s="17"/>
      <c r="R54" s="17"/>
      <c r="S54" s="17"/>
      <c r="T54" s="17"/>
      <c r="U54" s="17"/>
      <c r="V54" s="17"/>
      <c r="W54" s="17"/>
      <c r="X54" s="17"/>
      <c r="Y54" s="17"/>
      <c r="Z54" s="17"/>
    </row>
    <row r="55" spans="1:26" x14ac:dyDescent="0.25">
      <c r="A55" s="15"/>
      <c r="B55" s="15"/>
      <c r="C55" s="15"/>
      <c r="D55" s="17"/>
      <c r="E55" s="17"/>
      <c r="F55" s="17"/>
      <c r="G55" s="17"/>
      <c r="H55" s="17"/>
      <c r="I55" s="17"/>
      <c r="J55" s="17"/>
      <c r="K55" s="17"/>
      <c r="L55" s="17"/>
      <c r="M55" s="17"/>
      <c r="N55" s="17"/>
      <c r="O55" s="17"/>
      <c r="P55" s="17"/>
      <c r="Q55" s="17"/>
      <c r="R55" s="17"/>
      <c r="S55" s="17"/>
      <c r="T55" s="17"/>
      <c r="U55" s="17"/>
      <c r="V55" s="17"/>
      <c r="W55" s="17"/>
      <c r="X55" s="17"/>
      <c r="Y55" s="17"/>
      <c r="Z55" s="17"/>
    </row>
    <row r="56" spans="1:26" x14ac:dyDescent="0.25">
      <c r="A56" s="15"/>
      <c r="B56" s="15"/>
      <c r="C56" s="15"/>
      <c r="D56" s="17"/>
      <c r="E56" s="17"/>
      <c r="F56" s="17"/>
      <c r="G56" s="17"/>
      <c r="H56" s="17"/>
      <c r="I56" s="17"/>
      <c r="J56" s="17"/>
      <c r="K56" s="17"/>
      <c r="L56" s="17"/>
      <c r="M56" s="17"/>
      <c r="N56" s="17"/>
      <c r="O56" s="17"/>
      <c r="P56" s="17"/>
      <c r="Q56" s="17"/>
      <c r="R56" s="17"/>
      <c r="S56" s="17"/>
      <c r="T56" s="17"/>
      <c r="U56" s="17"/>
      <c r="V56" s="17"/>
      <c r="W56" s="17"/>
      <c r="X56" s="17"/>
      <c r="Y56" s="17"/>
      <c r="Z56" s="17"/>
    </row>
    <row r="57" spans="1:26" x14ac:dyDescent="0.25">
      <c r="A57" s="15"/>
      <c r="B57" s="15"/>
      <c r="C57" s="15"/>
      <c r="D57" s="17"/>
      <c r="E57" s="17"/>
      <c r="F57" s="17"/>
      <c r="G57" s="17"/>
      <c r="H57" s="17"/>
      <c r="I57" s="17"/>
      <c r="J57" s="17"/>
      <c r="K57" s="17"/>
      <c r="L57" s="17"/>
      <c r="M57" s="17"/>
      <c r="N57" s="17"/>
      <c r="O57" s="17"/>
      <c r="P57" s="17"/>
      <c r="Q57" s="17"/>
      <c r="R57" s="17"/>
      <c r="S57" s="17"/>
      <c r="T57" s="17"/>
      <c r="U57" s="17"/>
      <c r="V57" s="17"/>
      <c r="W57" s="17"/>
      <c r="X57" s="17"/>
      <c r="Y57" s="17"/>
      <c r="Z57" s="17"/>
    </row>
    <row r="58" spans="1:26" x14ac:dyDescent="0.25">
      <c r="A58" s="15"/>
      <c r="B58" s="15"/>
      <c r="C58" s="15"/>
      <c r="D58" s="17"/>
      <c r="E58" s="17"/>
      <c r="F58" s="17"/>
      <c r="G58" s="17"/>
      <c r="H58" s="17"/>
      <c r="I58" s="17"/>
      <c r="J58" s="17"/>
      <c r="K58" s="17"/>
      <c r="L58" s="17"/>
      <c r="M58" s="17"/>
      <c r="N58" s="17"/>
      <c r="O58" s="17"/>
      <c r="P58" s="17"/>
      <c r="Q58" s="17"/>
      <c r="R58" s="17"/>
      <c r="S58" s="17"/>
      <c r="T58" s="17"/>
      <c r="U58" s="17"/>
      <c r="V58" s="17"/>
      <c r="W58" s="17"/>
      <c r="X58" s="17"/>
      <c r="Y58" s="17"/>
      <c r="Z58" s="17"/>
    </row>
    <row r="59" spans="1:26" x14ac:dyDescent="0.25">
      <c r="A59" s="15"/>
      <c r="B59" s="15"/>
      <c r="C59" s="15"/>
      <c r="D59" s="17"/>
      <c r="E59" s="17"/>
      <c r="F59" s="17"/>
      <c r="G59" s="17"/>
      <c r="H59" s="17"/>
      <c r="I59" s="17"/>
      <c r="J59" s="17"/>
      <c r="K59" s="17"/>
      <c r="L59" s="17"/>
      <c r="M59" s="17"/>
      <c r="N59" s="17"/>
      <c r="O59" s="17"/>
      <c r="P59" s="17"/>
      <c r="Q59" s="17"/>
      <c r="R59" s="17"/>
      <c r="S59" s="17"/>
      <c r="T59" s="17"/>
      <c r="U59" s="17"/>
      <c r="V59" s="17"/>
      <c r="W59" s="17"/>
      <c r="X59" s="17"/>
      <c r="Y59" s="17"/>
      <c r="Z59" s="17"/>
    </row>
    <row r="60" spans="1:26" x14ac:dyDescent="0.25">
      <c r="A60" s="15"/>
      <c r="B60" s="15"/>
      <c r="C60" s="15"/>
      <c r="D60" s="17"/>
      <c r="E60" s="17"/>
      <c r="F60" s="17"/>
      <c r="G60" s="17"/>
      <c r="H60" s="17"/>
      <c r="I60" s="17"/>
      <c r="J60" s="17"/>
      <c r="K60" s="17"/>
      <c r="L60" s="17"/>
      <c r="M60" s="17"/>
      <c r="N60" s="17"/>
      <c r="O60" s="17"/>
      <c r="P60" s="17"/>
      <c r="Q60" s="17"/>
      <c r="R60" s="17"/>
      <c r="S60" s="17"/>
      <c r="T60" s="17"/>
      <c r="U60" s="17"/>
      <c r="V60" s="17"/>
      <c r="W60" s="17"/>
      <c r="X60" s="17"/>
      <c r="Y60" s="17"/>
      <c r="Z60" s="17"/>
    </row>
    <row r="61" spans="1:26" x14ac:dyDescent="0.25">
      <c r="A61" s="15"/>
      <c r="B61" s="15"/>
      <c r="C61" s="15"/>
      <c r="D61" s="17"/>
      <c r="E61" s="17"/>
      <c r="F61" s="17"/>
      <c r="G61" s="17"/>
      <c r="H61" s="17"/>
      <c r="I61" s="17"/>
      <c r="J61" s="17"/>
      <c r="K61" s="17"/>
      <c r="L61" s="17"/>
      <c r="M61" s="17"/>
      <c r="N61" s="17"/>
      <c r="O61" s="17"/>
      <c r="P61" s="17"/>
      <c r="Q61" s="17"/>
      <c r="R61" s="17"/>
      <c r="S61" s="17"/>
      <c r="T61" s="17"/>
      <c r="U61" s="17"/>
      <c r="V61" s="17"/>
      <c r="W61" s="17"/>
      <c r="X61" s="17"/>
      <c r="Y61" s="17"/>
      <c r="Z61" s="17"/>
    </row>
    <row r="62" spans="1:26" x14ac:dyDescent="0.25">
      <c r="A62" s="15"/>
      <c r="B62" s="15"/>
      <c r="C62" s="15"/>
      <c r="D62" s="17"/>
      <c r="E62" s="17"/>
      <c r="F62" s="17"/>
      <c r="G62" s="17"/>
      <c r="H62" s="17"/>
      <c r="I62" s="17"/>
      <c r="J62" s="17"/>
      <c r="K62" s="17"/>
      <c r="L62" s="17"/>
      <c r="M62" s="17"/>
      <c r="N62" s="17"/>
      <c r="O62" s="17"/>
      <c r="P62" s="17"/>
      <c r="Q62" s="17"/>
      <c r="R62" s="17"/>
      <c r="S62" s="17"/>
      <c r="T62" s="17"/>
      <c r="U62" s="17"/>
      <c r="V62" s="17"/>
      <c r="W62" s="17"/>
      <c r="X62" s="17"/>
      <c r="Y62" s="17"/>
      <c r="Z62" s="17"/>
    </row>
    <row r="63" spans="1:26" x14ac:dyDescent="0.25">
      <c r="A63" s="15"/>
      <c r="B63" s="15"/>
      <c r="C63" s="15"/>
      <c r="D63" s="17"/>
      <c r="E63" s="17"/>
      <c r="F63" s="17"/>
      <c r="G63" s="17"/>
      <c r="H63" s="17"/>
      <c r="I63" s="17"/>
      <c r="J63" s="17"/>
      <c r="K63" s="17"/>
      <c r="L63" s="17"/>
      <c r="M63" s="17"/>
      <c r="N63" s="17"/>
      <c r="O63" s="17"/>
      <c r="P63" s="17"/>
      <c r="Q63" s="17"/>
      <c r="R63" s="17"/>
      <c r="S63" s="17"/>
      <c r="T63" s="17"/>
      <c r="U63" s="17"/>
      <c r="V63" s="17"/>
      <c r="W63" s="17"/>
      <c r="X63" s="17"/>
      <c r="Y63" s="17"/>
      <c r="Z63" s="17"/>
    </row>
    <row r="64" spans="1:26" x14ac:dyDescent="0.25">
      <c r="A64" s="15"/>
      <c r="B64" s="15"/>
      <c r="C64" s="15"/>
      <c r="D64" s="17"/>
      <c r="E64" s="17"/>
      <c r="F64" s="17"/>
      <c r="G64" s="17"/>
      <c r="H64" s="17"/>
      <c r="I64" s="17"/>
      <c r="J64" s="17"/>
      <c r="K64" s="17"/>
      <c r="L64" s="17"/>
      <c r="M64" s="17"/>
      <c r="N64" s="17"/>
      <c r="O64" s="17"/>
      <c r="P64" s="17"/>
      <c r="Q64" s="17"/>
      <c r="R64" s="17"/>
      <c r="S64" s="17"/>
      <c r="T64" s="17"/>
      <c r="U64" s="17"/>
      <c r="V64" s="17"/>
      <c r="W64" s="17"/>
      <c r="X64" s="17"/>
      <c r="Y64" s="17"/>
      <c r="Z64" s="17"/>
    </row>
    <row r="65" spans="1:26" x14ac:dyDescent="0.25">
      <c r="A65" s="15"/>
      <c r="B65" s="15"/>
      <c r="C65" s="15"/>
      <c r="D65" s="17"/>
      <c r="E65" s="17"/>
      <c r="F65" s="17"/>
      <c r="G65" s="17"/>
      <c r="H65" s="17"/>
      <c r="I65" s="17"/>
      <c r="J65" s="17"/>
      <c r="K65" s="17"/>
      <c r="L65" s="17"/>
      <c r="M65" s="17"/>
      <c r="N65" s="17"/>
      <c r="O65" s="17"/>
      <c r="P65" s="17"/>
      <c r="Q65" s="17"/>
      <c r="R65" s="17"/>
      <c r="S65" s="17"/>
      <c r="T65" s="17"/>
      <c r="U65" s="17"/>
      <c r="V65" s="17"/>
      <c r="W65" s="17"/>
      <c r="X65" s="17"/>
      <c r="Y65" s="17"/>
      <c r="Z65" s="17"/>
    </row>
    <row r="66" spans="1:26" x14ac:dyDescent="0.25">
      <c r="A66" s="15"/>
      <c r="B66" s="15"/>
      <c r="C66" s="15"/>
      <c r="D66" s="17"/>
      <c r="E66" s="17"/>
      <c r="F66" s="17"/>
      <c r="G66" s="17"/>
      <c r="H66" s="17"/>
      <c r="I66" s="17"/>
      <c r="J66" s="17"/>
      <c r="K66" s="17"/>
      <c r="L66" s="17"/>
      <c r="M66" s="17"/>
      <c r="N66" s="17"/>
      <c r="O66" s="17"/>
      <c r="P66" s="17"/>
      <c r="Q66" s="17"/>
      <c r="R66" s="17"/>
      <c r="S66" s="17"/>
      <c r="T66" s="17"/>
      <c r="U66" s="17"/>
      <c r="V66" s="17"/>
      <c r="W66" s="17"/>
      <c r="X66" s="17"/>
      <c r="Y66" s="17"/>
      <c r="Z66" s="17"/>
    </row>
    <row r="67" spans="1:26" x14ac:dyDescent="0.25">
      <c r="A67" s="15"/>
      <c r="B67" s="15"/>
      <c r="C67" s="15"/>
      <c r="D67" s="17"/>
      <c r="E67" s="17"/>
      <c r="F67" s="17"/>
      <c r="G67" s="17"/>
      <c r="H67" s="17"/>
      <c r="I67" s="17"/>
      <c r="J67" s="17"/>
      <c r="K67" s="17"/>
      <c r="L67" s="17"/>
      <c r="M67" s="17"/>
      <c r="N67" s="17"/>
      <c r="O67" s="17"/>
      <c r="P67" s="17"/>
      <c r="Q67" s="17"/>
      <c r="R67" s="17"/>
      <c r="S67" s="17"/>
      <c r="T67" s="17"/>
      <c r="U67" s="17"/>
      <c r="V67" s="17"/>
      <c r="W67" s="17"/>
      <c r="X67" s="17"/>
      <c r="Y67" s="17"/>
      <c r="Z67" s="17"/>
    </row>
    <row r="68" spans="1:26" x14ac:dyDescent="0.25">
      <c r="A68" s="15"/>
      <c r="B68" s="15"/>
      <c r="C68" s="15"/>
      <c r="D68" s="17"/>
      <c r="E68" s="17"/>
      <c r="F68" s="17"/>
      <c r="G68" s="17"/>
      <c r="H68" s="17"/>
      <c r="I68" s="17"/>
      <c r="J68" s="17"/>
      <c r="K68" s="17"/>
      <c r="L68" s="17"/>
      <c r="M68" s="17"/>
      <c r="N68" s="17"/>
      <c r="O68" s="17"/>
      <c r="P68" s="17"/>
      <c r="Q68" s="17"/>
      <c r="R68" s="17"/>
      <c r="S68" s="17"/>
      <c r="T68" s="17"/>
      <c r="U68" s="17"/>
      <c r="V68" s="17"/>
      <c r="W68" s="17"/>
      <c r="X68" s="17"/>
      <c r="Y68" s="17"/>
      <c r="Z68" s="17"/>
    </row>
    <row r="69" spans="1:26" x14ac:dyDescent="0.25">
      <c r="A69" s="15"/>
      <c r="B69" s="15"/>
      <c r="C69" s="15"/>
      <c r="D69" s="17"/>
      <c r="E69" s="17"/>
      <c r="F69" s="17"/>
      <c r="G69" s="17"/>
      <c r="H69" s="17"/>
      <c r="I69" s="17"/>
      <c r="J69" s="17"/>
      <c r="K69" s="17"/>
      <c r="L69" s="17"/>
      <c r="M69" s="17"/>
      <c r="N69" s="17"/>
      <c r="O69" s="17"/>
      <c r="P69" s="17"/>
      <c r="Q69" s="17"/>
      <c r="R69" s="17"/>
      <c r="S69" s="17"/>
      <c r="T69" s="17"/>
      <c r="U69" s="17"/>
      <c r="V69" s="17"/>
      <c r="W69" s="17"/>
      <c r="X69" s="17"/>
      <c r="Y69" s="17"/>
      <c r="Z69" s="17"/>
    </row>
    <row r="70" spans="1:26" x14ac:dyDescent="0.25">
      <c r="A70" s="15"/>
      <c r="B70" s="15"/>
      <c r="C70" s="15"/>
      <c r="D70" s="17"/>
      <c r="E70" s="17"/>
      <c r="F70" s="17"/>
      <c r="G70" s="17"/>
      <c r="H70" s="17"/>
      <c r="I70" s="17"/>
      <c r="J70" s="17"/>
      <c r="K70" s="17"/>
      <c r="L70" s="17"/>
      <c r="M70" s="17"/>
      <c r="N70" s="17"/>
      <c r="O70" s="17"/>
      <c r="P70" s="17"/>
      <c r="Q70" s="17"/>
      <c r="R70" s="17"/>
      <c r="S70" s="17"/>
      <c r="T70" s="17"/>
      <c r="U70" s="17"/>
      <c r="V70" s="17"/>
      <c r="W70" s="17"/>
      <c r="X70" s="17"/>
      <c r="Y70" s="17"/>
      <c r="Z70" s="17"/>
    </row>
    <row r="71" spans="1:26" x14ac:dyDescent="0.25">
      <c r="A71" s="15"/>
      <c r="B71" s="15"/>
      <c r="C71" s="15"/>
      <c r="D71" s="17"/>
      <c r="E71" s="17"/>
      <c r="F71" s="17"/>
      <c r="G71" s="17"/>
      <c r="H71" s="17"/>
      <c r="I71" s="17"/>
      <c r="J71" s="17"/>
      <c r="K71" s="17"/>
      <c r="L71" s="17"/>
      <c r="M71" s="17"/>
      <c r="N71" s="17"/>
      <c r="O71" s="17"/>
      <c r="P71" s="17"/>
      <c r="Q71" s="17"/>
      <c r="R71" s="17"/>
      <c r="S71" s="17"/>
      <c r="T71" s="17"/>
      <c r="U71" s="17"/>
      <c r="V71" s="17"/>
      <c r="W71" s="17"/>
      <c r="X71" s="17"/>
      <c r="Y71" s="17"/>
      <c r="Z71" s="17"/>
    </row>
    <row r="72" spans="1:26" x14ac:dyDescent="0.25">
      <c r="A72" s="15"/>
      <c r="B72" s="15"/>
      <c r="C72" s="15"/>
      <c r="D72" s="17"/>
      <c r="E72" s="17"/>
      <c r="F72" s="17"/>
      <c r="G72" s="17"/>
      <c r="H72" s="17"/>
      <c r="I72" s="17"/>
      <c r="J72" s="17"/>
      <c r="K72" s="17"/>
      <c r="L72" s="17"/>
      <c r="M72" s="17"/>
      <c r="N72" s="17"/>
      <c r="O72" s="17"/>
      <c r="P72" s="17"/>
      <c r="Q72" s="17"/>
      <c r="R72" s="17"/>
      <c r="S72" s="17"/>
      <c r="T72" s="17"/>
      <c r="U72" s="17"/>
      <c r="V72" s="17"/>
      <c r="W72" s="17"/>
      <c r="X72" s="17"/>
      <c r="Y72" s="17"/>
      <c r="Z72" s="17"/>
    </row>
    <row r="73" spans="1:26" x14ac:dyDescent="0.25">
      <c r="A73" s="15"/>
      <c r="B73" s="15"/>
      <c r="C73" s="15"/>
      <c r="D73" s="17"/>
      <c r="E73" s="17"/>
      <c r="F73" s="17"/>
      <c r="G73" s="17"/>
      <c r="H73" s="17"/>
      <c r="I73" s="17"/>
      <c r="J73" s="17"/>
      <c r="K73" s="17"/>
      <c r="L73" s="17"/>
      <c r="M73" s="17"/>
      <c r="N73" s="17"/>
      <c r="O73" s="17"/>
      <c r="P73" s="17"/>
      <c r="Q73" s="17"/>
      <c r="R73" s="17"/>
      <c r="S73" s="17"/>
      <c r="T73" s="17"/>
      <c r="U73" s="17"/>
      <c r="V73" s="17"/>
      <c r="W73" s="17"/>
      <c r="X73" s="17"/>
      <c r="Y73" s="17"/>
      <c r="Z73" s="17"/>
    </row>
    <row r="74" spans="1:26" x14ac:dyDescent="0.25">
      <c r="A74" s="15"/>
      <c r="B74" s="15"/>
      <c r="C74" s="15"/>
      <c r="D74" s="17"/>
      <c r="E74" s="17"/>
      <c r="F74" s="17"/>
      <c r="G74" s="17"/>
      <c r="H74" s="17"/>
      <c r="I74" s="17"/>
      <c r="J74" s="17"/>
      <c r="K74" s="17"/>
      <c r="L74" s="17"/>
      <c r="M74" s="17"/>
      <c r="N74" s="17"/>
      <c r="O74" s="17"/>
      <c r="P74" s="17"/>
      <c r="Q74" s="17"/>
      <c r="R74" s="17"/>
      <c r="S74" s="17"/>
      <c r="T74" s="17"/>
      <c r="U74" s="17"/>
      <c r="V74" s="17"/>
      <c r="W74" s="17"/>
      <c r="X74" s="17"/>
      <c r="Y74" s="17"/>
      <c r="Z74" s="17"/>
    </row>
    <row r="75" spans="1:26" x14ac:dyDescent="0.25">
      <c r="A75" s="15"/>
      <c r="B75" s="15"/>
      <c r="C75" s="15"/>
      <c r="D75" s="17"/>
      <c r="E75" s="17"/>
      <c r="F75" s="17"/>
      <c r="G75" s="17"/>
      <c r="H75" s="17"/>
      <c r="I75" s="17"/>
      <c r="J75" s="17"/>
      <c r="K75" s="17"/>
      <c r="L75" s="17"/>
      <c r="M75" s="17"/>
      <c r="N75" s="17"/>
      <c r="O75" s="17"/>
      <c r="P75" s="17"/>
      <c r="Q75" s="17"/>
      <c r="R75" s="17"/>
      <c r="S75" s="17"/>
      <c r="T75" s="17"/>
      <c r="U75" s="17"/>
      <c r="V75" s="17"/>
      <c r="W75" s="17"/>
      <c r="X75" s="17"/>
      <c r="Y75" s="17"/>
      <c r="Z75" s="17"/>
    </row>
    <row r="76" spans="1:26" x14ac:dyDescent="0.25">
      <c r="A76" s="15"/>
      <c r="B76" s="15"/>
      <c r="C76" s="15"/>
      <c r="D76" s="17"/>
      <c r="E76" s="17"/>
      <c r="F76" s="17"/>
      <c r="G76" s="17"/>
      <c r="H76" s="17"/>
      <c r="I76" s="17"/>
      <c r="J76" s="17"/>
      <c r="K76" s="17"/>
      <c r="L76" s="17"/>
      <c r="M76" s="17"/>
      <c r="N76" s="17"/>
      <c r="O76" s="17"/>
      <c r="P76" s="17"/>
      <c r="Q76" s="17"/>
      <c r="R76" s="17"/>
      <c r="S76" s="17"/>
      <c r="T76" s="17"/>
      <c r="U76" s="17"/>
      <c r="V76" s="17"/>
      <c r="W76" s="17"/>
      <c r="X76" s="17"/>
      <c r="Y76" s="17"/>
      <c r="Z76" s="17"/>
    </row>
    <row r="77" spans="1:26" x14ac:dyDescent="0.25">
      <c r="A77" s="15"/>
      <c r="B77" s="15"/>
      <c r="C77" s="15"/>
      <c r="D77" s="17"/>
      <c r="E77" s="17"/>
      <c r="F77" s="17"/>
      <c r="G77" s="17"/>
      <c r="H77" s="17"/>
      <c r="I77" s="17"/>
      <c r="J77" s="17"/>
      <c r="K77" s="17"/>
      <c r="L77" s="17"/>
      <c r="M77" s="17"/>
      <c r="N77" s="17"/>
      <c r="O77" s="17"/>
      <c r="P77" s="17"/>
      <c r="Q77" s="17"/>
      <c r="R77" s="17"/>
      <c r="S77" s="17"/>
      <c r="T77" s="17"/>
      <c r="U77" s="17"/>
      <c r="V77" s="17"/>
      <c r="W77" s="17"/>
      <c r="X77" s="17"/>
      <c r="Y77" s="17"/>
      <c r="Z77" s="17"/>
    </row>
    <row r="78" spans="1:26" x14ac:dyDescent="0.25">
      <c r="A78" s="15"/>
      <c r="B78" s="15"/>
      <c r="C78" s="15"/>
      <c r="D78" s="17"/>
      <c r="E78" s="17"/>
      <c r="F78" s="17"/>
      <c r="G78" s="17"/>
      <c r="H78" s="17"/>
      <c r="I78" s="17"/>
      <c r="J78" s="17"/>
      <c r="K78" s="17"/>
      <c r="L78" s="17"/>
      <c r="M78" s="17"/>
      <c r="N78" s="17"/>
      <c r="O78" s="17"/>
      <c r="P78" s="17"/>
      <c r="Q78" s="17"/>
      <c r="R78" s="17"/>
      <c r="S78" s="17"/>
      <c r="T78" s="17"/>
      <c r="U78" s="17"/>
      <c r="V78" s="17"/>
      <c r="W78" s="17"/>
      <c r="X78" s="17"/>
      <c r="Y78" s="17"/>
      <c r="Z78" s="17"/>
    </row>
    <row r="79" spans="1:26" x14ac:dyDescent="0.25">
      <c r="A79" s="15"/>
      <c r="B79" s="15"/>
      <c r="C79" s="15"/>
      <c r="D79" s="17"/>
      <c r="E79" s="17"/>
      <c r="F79" s="17"/>
      <c r="G79" s="17"/>
      <c r="H79" s="17"/>
      <c r="I79" s="17"/>
      <c r="J79" s="17"/>
      <c r="K79" s="17"/>
      <c r="L79" s="17"/>
      <c r="M79" s="17"/>
      <c r="N79" s="17"/>
      <c r="O79" s="17"/>
      <c r="P79" s="17"/>
      <c r="Q79" s="17"/>
      <c r="R79" s="17"/>
      <c r="S79" s="17"/>
      <c r="T79" s="17"/>
      <c r="U79" s="17"/>
      <c r="V79" s="17"/>
      <c r="W79" s="17"/>
      <c r="X79" s="17"/>
      <c r="Y79" s="17"/>
      <c r="Z79" s="17"/>
    </row>
    <row r="80" spans="1:26" x14ac:dyDescent="0.25">
      <c r="A80" s="15"/>
      <c r="B80" s="15"/>
      <c r="C80" s="15"/>
      <c r="D80" s="17"/>
      <c r="E80" s="17"/>
      <c r="F80" s="17"/>
      <c r="G80" s="17"/>
      <c r="H80" s="17"/>
      <c r="I80" s="17"/>
      <c r="J80" s="17"/>
      <c r="K80" s="17"/>
      <c r="L80" s="17"/>
      <c r="M80" s="17"/>
      <c r="N80" s="17"/>
      <c r="O80" s="17"/>
      <c r="P80" s="17"/>
      <c r="Q80" s="17"/>
      <c r="R80" s="17"/>
      <c r="S80" s="17"/>
      <c r="T80" s="17"/>
      <c r="U80" s="17"/>
      <c r="V80" s="17"/>
      <c r="W80" s="17"/>
      <c r="X80" s="17"/>
      <c r="Y80" s="17"/>
      <c r="Z80" s="17"/>
    </row>
    <row r="81" spans="1:26" x14ac:dyDescent="0.25">
      <c r="A81" s="15"/>
      <c r="B81" s="15"/>
      <c r="C81" s="15"/>
      <c r="D81" s="17"/>
      <c r="E81" s="17"/>
      <c r="F81" s="17"/>
      <c r="G81" s="17"/>
      <c r="H81" s="17"/>
      <c r="I81" s="17"/>
      <c r="J81" s="17"/>
      <c r="K81" s="17"/>
      <c r="L81" s="17"/>
      <c r="M81" s="17"/>
      <c r="N81" s="17"/>
      <c r="O81" s="17"/>
      <c r="P81" s="17"/>
      <c r="Q81" s="17"/>
      <c r="R81" s="17"/>
      <c r="S81" s="17"/>
      <c r="T81" s="17"/>
      <c r="U81" s="17"/>
      <c r="V81" s="17"/>
      <c r="W81" s="17"/>
      <c r="X81" s="17"/>
      <c r="Y81" s="17"/>
      <c r="Z81" s="17"/>
    </row>
    <row r="82" spans="1:26" x14ac:dyDescent="0.25">
      <c r="A82" s="15"/>
      <c r="B82" s="15"/>
      <c r="C82" s="15"/>
      <c r="D82" s="17"/>
      <c r="E82" s="17"/>
      <c r="F82" s="17"/>
      <c r="G82" s="17"/>
      <c r="H82" s="17"/>
      <c r="I82" s="17"/>
      <c r="J82" s="17"/>
      <c r="K82" s="17"/>
      <c r="L82" s="17"/>
      <c r="M82" s="17"/>
      <c r="N82" s="17"/>
      <c r="O82" s="17"/>
      <c r="P82" s="17"/>
      <c r="Q82" s="17"/>
      <c r="R82" s="17"/>
      <c r="S82" s="17"/>
      <c r="T82" s="17"/>
      <c r="U82" s="17"/>
      <c r="V82" s="17"/>
      <c r="W82" s="17"/>
      <c r="X82" s="17"/>
      <c r="Y82" s="17"/>
      <c r="Z82" s="17"/>
    </row>
    <row r="83" spans="1:26" x14ac:dyDescent="0.25">
      <c r="A83" s="15"/>
      <c r="B83" s="15"/>
      <c r="C83" s="15"/>
      <c r="D83" s="17"/>
      <c r="E83" s="17"/>
      <c r="F83" s="17"/>
      <c r="G83" s="17"/>
      <c r="H83" s="17"/>
      <c r="I83" s="17"/>
      <c r="J83" s="17"/>
      <c r="K83" s="17"/>
      <c r="L83" s="17"/>
      <c r="M83" s="17"/>
      <c r="N83" s="17"/>
      <c r="O83" s="17"/>
      <c r="P83" s="17"/>
      <c r="Q83" s="17"/>
      <c r="R83" s="17"/>
      <c r="S83" s="17"/>
      <c r="T83" s="17"/>
      <c r="U83" s="17"/>
      <c r="V83" s="17"/>
      <c r="W83" s="17"/>
      <c r="X83" s="17"/>
      <c r="Y83" s="17"/>
      <c r="Z83" s="17"/>
    </row>
    <row r="84" spans="1:26" x14ac:dyDescent="0.25">
      <c r="A84" s="15"/>
      <c r="B84" s="15"/>
      <c r="C84" s="15"/>
      <c r="D84" s="17"/>
      <c r="E84" s="17"/>
      <c r="F84" s="17"/>
      <c r="G84" s="17"/>
      <c r="H84" s="17"/>
      <c r="I84" s="17"/>
      <c r="J84" s="17"/>
      <c r="K84" s="17"/>
      <c r="L84" s="17"/>
      <c r="M84" s="17"/>
      <c r="N84" s="17"/>
      <c r="O84" s="17"/>
      <c r="P84" s="17"/>
      <c r="Q84" s="17"/>
      <c r="R84" s="17"/>
      <c r="S84" s="17"/>
      <c r="T84" s="17"/>
      <c r="U84" s="17"/>
      <c r="V84" s="17"/>
      <c r="W84" s="17"/>
      <c r="X84" s="17"/>
      <c r="Y84" s="17"/>
      <c r="Z84" s="17"/>
    </row>
    <row r="85" spans="1:26" x14ac:dyDescent="0.25">
      <c r="A85" s="15"/>
      <c r="B85" s="15"/>
      <c r="C85" s="15"/>
      <c r="D85" s="17"/>
      <c r="E85" s="17"/>
      <c r="F85" s="17"/>
      <c r="G85" s="17"/>
      <c r="H85" s="17"/>
      <c r="I85" s="17"/>
      <c r="J85" s="17"/>
      <c r="K85" s="17"/>
      <c r="L85" s="17"/>
      <c r="M85" s="17"/>
      <c r="N85" s="17"/>
      <c r="O85" s="17"/>
      <c r="P85" s="17"/>
      <c r="Q85" s="17"/>
      <c r="R85" s="17"/>
      <c r="S85" s="17"/>
      <c r="T85" s="17"/>
      <c r="U85" s="17"/>
      <c r="V85" s="17"/>
      <c r="W85" s="17"/>
      <c r="X85" s="17"/>
      <c r="Y85" s="17"/>
      <c r="Z85" s="17"/>
    </row>
    <row r="86" spans="1:26" x14ac:dyDescent="0.25">
      <c r="A86" s="15"/>
      <c r="B86" s="15"/>
      <c r="C86" s="15"/>
      <c r="D86" s="17"/>
      <c r="E86" s="17"/>
      <c r="F86" s="17"/>
      <c r="G86" s="17"/>
      <c r="H86" s="17"/>
      <c r="I86" s="17"/>
      <c r="J86" s="17"/>
      <c r="K86" s="17"/>
      <c r="L86" s="17"/>
      <c r="M86" s="17"/>
      <c r="N86" s="17"/>
      <c r="O86" s="17"/>
      <c r="P86" s="17"/>
      <c r="Q86" s="17"/>
      <c r="R86" s="17"/>
      <c r="S86" s="17"/>
      <c r="T86" s="17"/>
      <c r="U86" s="17"/>
      <c r="V86" s="17"/>
      <c r="W86" s="17"/>
      <c r="X86" s="17"/>
      <c r="Y86" s="17"/>
      <c r="Z86" s="17"/>
    </row>
    <row r="87" spans="1:26" x14ac:dyDescent="0.25">
      <c r="A87" s="15"/>
      <c r="B87" s="15"/>
      <c r="C87" s="15"/>
      <c r="D87" s="17"/>
      <c r="E87" s="17"/>
      <c r="F87" s="17"/>
      <c r="G87" s="17"/>
      <c r="H87" s="17"/>
      <c r="I87" s="17"/>
      <c r="J87" s="17"/>
      <c r="K87" s="17"/>
      <c r="L87" s="17"/>
      <c r="M87" s="17"/>
      <c r="N87" s="17"/>
      <c r="O87" s="17"/>
      <c r="P87" s="17"/>
      <c r="Q87" s="17"/>
      <c r="R87" s="17"/>
      <c r="S87" s="17"/>
      <c r="T87" s="17"/>
      <c r="U87" s="17"/>
      <c r="V87" s="17"/>
      <c r="W87" s="17"/>
      <c r="X87" s="17"/>
      <c r="Y87" s="17"/>
      <c r="Z87" s="17"/>
    </row>
    <row r="88" spans="1:26" x14ac:dyDescent="0.25">
      <c r="A88" s="15"/>
      <c r="B88" s="15"/>
      <c r="C88" s="15"/>
      <c r="D88" s="17"/>
      <c r="E88" s="17"/>
      <c r="F88" s="17"/>
      <c r="G88" s="17"/>
      <c r="H88" s="17"/>
      <c r="I88" s="17"/>
      <c r="J88" s="17"/>
      <c r="K88" s="17"/>
      <c r="L88" s="17"/>
      <c r="M88" s="17"/>
      <c r="N88" s="17"/>
      <c r="O88" s="17"/>
      <c r="P88" s="17"/>
      <c r="Q88" s="17"/>
      <c r="R88" s="17"/>
      <c r="S88" s="17"/>
      <c r="T88" s="17"/>
      <c r="U88" s="17"/>
      <c r="V88" s="17"/>
      <c r="W88" s="17"/>
      <c r="X88" s="17"/>
      <c r="Y88" s="17"/>
      <c r="Z88" s="17"/>
    </row>
    <row r="89" spans="1:26" x14ac:dyDescent="0.25">
      <c r="A89" s="15"/>
      <c r="B89" s="15"/>
      <c r="C89" s="15"/>
      <c r="D89" s="17"/>
      <c r="E89" s="17"/>
      <c r="F89" s="17"/>
      <c r="G89" s="17"/>
      <c r="H89" s="17"/>
      <c r="I89" s="17"/>
      <c r="J89" s="17"/>
      <c r="K89" s="17"/>
      <c r="L89" s="17"/>
      <c r="M89" s="17"/>
      <c r="N89" s="17"/>
      <c r="O89" s="17"/>
      <c r="P89" s="17"/>
      <c r="Q89" s="17"/>
      <c r="R89" s="17"/>
      <c r="S89" s="17"/>
      <c r="T89" s="17"/>
      <c r="U89" s="17"/>
      <c r="V89" s="17"/>
      <c r="W89" s="17"/>
      <c r="X89" s="17"/>
      <c r="Y89" s="17"/>
      <c r="Z89" s="17"/>
    </row>
    <row r="90" spans="1:26" x14ac:dyDescent="0.25">
      <c r="A90" s="15"/>
      <c r="B90" s="15"/>
      <c r="C90" s="15"/>
      <c r="D90" s="17"/>
      <c r="E90" s="17"/>
      <c r="F90" s="17"/>
      <c r="G90" s="17"/>
      <c r="H90" s="17"/>
      <c r="I90" s="17"/>
      <c r="J90" s="17"/>
      <c r="K90" s="17"/>
      <c r="L90" s="17"/>
      <c r="M90" s="17"/>
      <c r="N90" s="17"/>
      <c r="O90" s="17"/>
      <c r="P90" s="17"/>
      <c r="Q90" s="17"/>
      <c r="R90" s="17"/>
      <c r="S90" s="17"/>
      <c r="T90" s="17"/>
      <c r="U90" s="17"/>
      <c r="V90" s="17"/>
      <c r="W90" s="17"/>
      <c r="X90" s="17"/>
      <c r="Y90" s="17"/>
      <c r="Z90" s="17"/>
    </row>
    <row r="91" spans="1:26" x14ac:dyDescent="0.25">
      <c r="A91" s="15"/>
      <c r="B91" s="15"/>
      <c r="C91" s="15"/>
      <c r="D91" s="17"/>
      <c r="E91" s="17"/>
      <c r="F91" s="17"/>
      <c r="G91" s="17"/>
      <c r="H91" s="17"/>
      <c r="I91" s="17"/>
      <c r="J91" s="17"/>
      <c r="K91" s="17"/>
      <c r="L91" s="17"/>
      <c r="M91" s="17"/>
      <c r="N91" s="17"/>
      <c r="O91" s="17"/>
      <c r="P91" s="17"/>
      <c r="Q91" s="17"/>
      <c r="R91" s="17"/>
      <c r="S91" s="17"/>
      <c r="T91" s="17"/>
      <c r="U91" s="17"/>
      <c r="V91" s="17"/>
      <c r="W91" s="17"/>
      <c r="X91" s="17"/>
      <c r="Y91" s="17"/>
      <c r="Z91" s="17"/>
    </row>
    <row r="92" spans="1:26" x14ac:dyDescent="0.25">
      <c r="A92" s="15"/>
      <c r="B92" s="15"/>
      <c r="C92" s="15"/>
      <c r="D92" s="17"/>
      <c r="E92" s="17"/>
      <c r="F92" s="17"/>
      <c r="G92" s="17"/>
      <c r="H92" s="17"/>
      <c r="I92" s="17"/>
      <c r="J92" s="17"/>
      <c r="K92" s="17"/>
      <c r="L92" s="17"/>
      <c r="M92" s="17"/>
      <c r="N92" s="17"/>
      <c r="O92" s="17"/>
      <c r="P92" s="17"/>
      <c r="Q92" s="17"/>
      <c r="R92" s="17"/>
      <c r="S92" s="17"/>
      <c r="T92" s="17"/>
      <c r="U92" s="17"/>
      <c r="V92" s="17"/>
      <c r="W92" s="17"/>
      <c r="X92" s="17"/>
      <c r="Y92" s="17"/>
      <c r="Z92" s="17"/>
    </row>
    <row r="93" spans="1:26" x14ac:dyDescent="0.25">
      <c r="A93" s="15"/>
      <c r="B93" s="15"/>
      <c r="C93" s="15"/>
      <c r="D93" s="17"/>
      <c r="E93" s="17"/>
      <c r="F93" s="17"/>
      <c r="G93" s="17"/>
      <c r="H93" s="17"/>
      <c r="I93" s="17"/>
      <c r="J93" s="17"/>
      <c r="K93" s="17"/>
      <c r="L93" s="17"/>
      <c r="M93" s="17"/>
      <c r="N93" s="17"/>
      <c r="O93" s="17"/>
      <c r="P93" s="17"/>
      <c r="Q93" s="17"/>
      <c r="R93" s="17"/>
      <c r="S93" s="17"/>
      <c r="T93" s="17"/>
      <c r="U93" s="17"/>
      <c r="V93" s="17"/>
      <c r="W93" s="17"/>
      <c r="X93" s="17"/>
      <c r="Y93" s="17"/>
      <c r="Z93" s="17"/>
    </row>
    <row r="94" spans="1:26" x14ac:dyDescent="0.25">
      <c r="A94" s="15"/>
      <c r="B94" s="15"/>
      <c r="C94" s="15"/>
      <c r="D94" s="17"/>
      <c r="E94" s="17"/>
      <c r="F94" s="17"/>
      <c r="G94" s="17"/>
      <c r="H94" s="17"/>
      <c r="I94" s="17"/>
      <c r="J94" s="17"/>
      <c r="K94" s="17"/>
      <c r="L94" s="17"/>
      <c r="M94" s="17"/>
      <c r="N94" s="17"/>
      <c r="O94" s="17"/>
      <c r="P94" s="17"/>
      <c r="Q94" s="17"/>
      <c r="R94" s="17"/>
      <c r="S94" s="17"/>
      <c r="T94" s="17"/>
      <c r="U94" s="17"/>
      <c r="V94" s="17"/>
      <c r="W94" s="17"/>
      <c r="X94" s="17"/>
      <c r="Y94" s="17"/>
      <c r="Z94" s="17"/>
    </row>
    <row r="95" spans="1:26" x14ac:dyDescent="0.25">
      <c r="A95" s="15"/>
      <c r="B95" s="15"/>
      <c r="C95" s="15"/>
      <c r="D95" s="17"/>
      <c r="E95" s="17"/>
      <c r="F95" s="17"/>
      <c r="G95" s="17"/>
      <c r="H95" s="17"/>
      <c r="I95" s="17"/>
      <c r="J95" s="17"/>
      <c r="K95" s="17"/>
      <c r="L95" s="17"/>
      <c r="M95" s="17"/>
      <c r="N95" s="17"/>
      <c r="O95" s="17"/>
      <c r="P95" s="17"/>
      <c r="Q95" s="17"/>
      <c r="R95" s="17"/>
      <c r="S95" s="17"/>
      <c r="T95" s="17"/>
      <c r="U95" s="17"/>
      <c r="V95" s="17"/>
      <c r="W95" s="17"/>
      <c r="X95" s="17"/>
      <c r="Y95" s="17"/>
      <c r="Z95" s="17"/>
    </row>
    <row r="96" spans="1:26" x14ac:dyDescent="0.25">
      <c r="A96" s="15"/>
      <c r="B96" s="15"/>
      <c r="C96" s="15"/>
      <c r="D96" s="17"/>
      <c r="E96" s="17"/>
      <c r="F96" s="17"/>
      <c r="G96" s="17"/>
      <c r="H96" s="17"/>
      <c r="I96" s="17"/>
      <c r="J96" s="17"/>
      <c r="K96" s="17"/>
      <c r="L96" s="17"/>
      <c r="M96" s="17"/>
      <c r="N96" s="17"/>
      <c r="O96" s="17"/>
      <c r="P96" s="17"/>
      <c r="Q96" s="17"/>
      <c r="R96" s="17"/>
      <c r="S96" s="17"/>
      <c r="T96" s="17"/>
      <c r="U96" s="17"/>
      <c r="V96" s="17"/>
      <c r="W96" s="17"/>
      <c r="X96" s="17"/>
      <c r="Y96" s="17"/>
      <c r="Z96" s="17"/>
    </row>
    <row r="97" spans="1:26" x14ac:dyDescent="0.25">
      <c r="A97" s="15"/>
      <c r="B97" s="15"/>
      <c r="C97" s="15"/>
      <c r="D97" s="17"/>
      <c r="E97" s="17"/>
      <c r="F97" s="17"/>
      <c r="G97" s="17"/>
      <c r="H97" s="17"/>
      <c r="I97" s="17"/>
      <c r="J97" s="17"/>
      <c r="K97" s="17"/>
      <c r="L97" s="17"/>
      <c r="M97" s="17"/>
      <c r="N97" s="17"/>
      <c r="O97" s="17"/>
      <c r="P97" s="17"/>
      <c r="Q97" s="17"/>
      <c r="R97" s="17"/>
      <c r="S97" s="17"/>
      <c r="T97" s="17"/>
      <c r="U97" s="17"/>
      <c r="V97" s="17"/>
      <c r="W97" s="17"/>
      <c r="X97" s="17"/>
      <c r="Y97" s="17"/>
      <c r="Z97" s="17"/>
    </row>
    <row r="98" spans="1:26" x14ac:dyDescent="0.25">
      <c r="A98" s="15"/>
      <c r="B98" s="15"/>
      <c r="C98" s="15"/>
      <c r="D98" s="17"/>
      <c r="E98" s="17"/>
      <c r="F98" s="17"/>
      <c r="G98" s="17"/>
      <c r="H98" s="17"/>
      <c r="I98" s="17"/>
      <c r="J98" s="17"/>
      <c r="K98" s="17"/>
      <c r="L98" s="17"/>
      <c r="M98" s="17"/>
      <c r="N98" s="17"/>
      <c r="O98" s="17"/>
      <c r="P98" s="17"/>
      <c r="Q98" s="17"/>
      <c r="R98" s="17"/>
      <c r="S98" s="17"/>
      <c r="T98" s="17"/>
      <c r="U98" s="17"/>
      <c r="V98" s="17"/>
      <c r="W98" s="17"/>
      <c r="X98" s="17"/>
      <c r="Y98" s="17"/>
      <c r="Z98" s="17"/>
    </row>
    <row r="99" spans="1:26" x14ac:dyDescent="0.25">
      <c r="A99" s="15"/>
      <c r="B99" s="15"/>
      <c r="C99" s="15"/>
      <c r="D99" s="17"/>
      <c r="E99" s="17"/>
      <c r="F99" s="17"/>
      <c r="G99" s="17"/>
      <c r="H99" s="17"/>
      <c r="I99" s="17"/>
      <c r="J99" s="17"/>
      <c r="K99" s="17"/>
      <c r="L99" s="17"/>
      <c r="M99" s="17"/>
      <c r="N99" s="17"/>
      <c r="O99" s="17"/>
      <c r="P99" s="17"/>
      <c r="Q99" s="17"/>
      <c r="R99" s="17"/>
      <c r="S99" s="17"/>
      <c r="T99" s="17"/>
      <c r="U99" s="17"/>
      <c r="V99" s="17"/>
      <c r="W99" s="17"/>
      <c r="X99" s="17"/>
      <c r="Y99" s="17"/>
      <c r="Z99" s="17"/>
    </row>
    <row r="100" spans="1:26" x14ac:dyDescent="0.25">
      <c r="A100" s="15"/>
      <c r="B100" s="15"/>
      <c r="C100" s="15"/>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501"/>
  <sheetViews>
    <sheetView topLeftCell="A2" zoomScale="72" zoomScaleNormal="100" workbookViewId="0">
      <selection activeCell="G43" sqref="G43"/>
    </sheetView>
  </sheetViews>
  <sheetFormatPr defaultColWidth="11.5546875" defaultRowHeight="12.75" customHeight="1" x14ac:dyDescent="0.25"/>
  <cols>
    <col min="1" max="1" width="12.33203125" customWidth="1"/>
    <col min="2" max="2" width="21.77734375" customWidth="1"/>
    <col min="3" max="3" width="18.88671875" customWidth="1"/>
    <col min="4" max="4" width="12" customWidth="1"/>
    <col min="5" max="5" width="17.77734375" customWidth="1"/>
    <col min="6" max="6" width="19" style="2" customWidth="1"/>
    <col min="7" max="7" width="18.88671875" style="2" customWidth="1"/>
    <col min="8" max="8" width="24.77734375" customWidth="1"/>
    <col min="9" max="9" width="24" customWidth="1"/>
    <col min="10" max="10" width="14.44140625" customWidth="1"/>
    <col min="11" max="11" width="10.21875" customWidth="1"/>
    <col min="12" max="12" width="10.44140625" customWidth="1"/>
    <col min="13" max="13" width="16.5546875" customWidth="1"/>
    <col min="14" max="14" width="14.5546875" customWidth="1"/>
  </cols>
  <sheetData>
    <row r="1" spans="1:15" ht="25.2" customHeight="1" x14ac:dyDescent="0.25">
      <c r="A1" s="4" t="s">
        <v>0</v>
      </c>
      <c r="B1" s="4" t="s">
        <v>30</v>
      </c>
      <c r="C1" s="4" t="s">
        <v>29</v>
      </c>
      <c r="D1" s="4" t="s">
        <v>1</v>
      </c>
      <c r="E1" s="4" t="s">
        <v>2</v>
      </c>
      <c r="F1" s="5" t="s">
        <v>3</v>
      </c>
      <c r="G1" s="5" t="s">
        <v>4</v>
      </c>
      <c r="H1" s="4" t="s">
        <v>26</v>
      </c>
      <c r="I1" s="4" t="s">
        <v>31</v>
      </c>
    </row>
    <row r="2" spans="1:15" ht="13.2" x14ac:dyDescent="0.25">
      <c r="A2" s="1">
        <v>1</v>
      </c>
      <c r="B2" s="1" t="s">
        <v>5</v>
      </c>
      <c r="C2" s="1" t="s">
        <v>6</v>
      </c>
      <c r="D2" s="1" t="s">
        <v>7</v>
      </c>
      <c r="E2" s="1">
        <v>15</v>
      </c>
      <c r="F2" s="3">
        <v>144886</v>
      </c>
      <c r="G2" s="3">
        <v>2173290</v>
      </c>
      <c r="H2" s="1" t="str">
        <f t="shared" ref="H2:H65" si="0">IF(G2&gt;1000000,"High","Low")</f>
        <v>High</v>
      </c>
      <c r="I2" s="1" t="str">
        <f t="shared" ref="I2:I65" si="1">IF(B2="MacBook","Laptop",
   IF(B2="iPhone","Phone",
   IF(B2="iPad","Tablet","Other")))</f>
        <v>Laptop</v>
      </c>
    </row>
    <row r="3" spans="1:15" ht="13.2" x14ac:dyDescent="0.25">
      <c r="A3" s="1">
        <v>2</v>
      </c>
      <c r="B3" s="1" t="s">
        <v>5</v>
      </c>
      <c r="C3" s="1" t="s">
        <v>8</v>
      </c>
      <c r="D3" s="1" t="s">
        <v>9</v>
      </c>
      <c r="E3" s="1">
        <v>11</v>
      </c>
      <c r="F3" s="3">
        <v>216324</v>
      </c>
      <c r="G3" s="3">
        <v>2379564</v>
      </c>
      <c r="H3" s="1" t="str">
        <f t="shared" si="0"/>
        <v>High</v>
      </c>
      <c r="I3" s="1" t="str">
        <f t="shared" si="1"/>
        <v>Laptop</v>
      </c>
    </row>
    <row r="4" spans="1:15" ht="12.6" customHeight="1" x14ac:dyDescent="0.25">
      <c r="A4" s="1">
        <v>3</v>
      </c>
      <c r="B4" s="1" t="s">
        <v>5</v>
      </c>
      <c r="C4" s="1" t="s">
        <v>10</v>
      </c>
      <c r="D4" s="1" t="s">
        <v>9</v>
      </c>
      <c r="E4" s="1">
        <v>2</v>
      </c>
      <c r="F4" s="3">
        <v>95311</v>
      </c>
      <c r="G4" s="3">
        <v>190622</v>
      </c>
      <c r="H4" s="1" t="str">
        <f t="shared" si="0"/>
        <v>Low</v>
      </c>
      <c r="I4" s="1" t="str">
        <f t="shared" si="1"/>
        <v>Laptop</v>
      </c>
    </row>
    <row r="5" spans="1:15" ht="13.8" x14ac:dyDescent="0.25">
      <c r="A5" s="1">
        <v>4</v>
      </c>
      <c r="B5" s="1" t="s">
        <v>11</v>
      </c>
      <c r="C5" s="1" t="s">
        <v>12</v>
      </c>
      <c r="D5" s="1" t="s">
        <v>13</v>
      </c>
      <c r="E5" s="1">
        <v>12</v>
      </c>
      <c r="F5" s="3">
        <v>79769</v>
      </c>
      <c r="G5" s="3">
        <v>957228</v>
      </c>
      <c r="H5" s="1" t="str">
        <f t="shared" si="0"/>
        <v>Low</v>
      </c>
      <c r="I5" s="1" t="str">
        <f t="shared" si="1"/>
        <v>Phone</v>
      </c>
      <c r="M5" s="20" t="s">
        <v>24</v>
      </c>
      <c r="N5" s="22"/>
      <c r="O5" s="21"/>
    </row>
    <row r="6" spans="1:15" ht="13.8" x14ac:dyDescent="0.25">
      <c r="A6" s="1">
        <v>5</v>
      </c>
      <c r="B6" s="1" t="s">
        <v>5</v>
      </c>
      <c r="C6" s="1" t="s">
        <v>8</v>
      </c>
      <c r="D6" s="1" t="s">
        <v>13</v>
      </c>
      <c r="E6" s="1">
        <v>10</v>
      </c>
      <c r="F6" s="3">
        <v>213855</v>
      </c>
      <c r="G6" s="3">
        <v>2138550</v>
      </c>
      <c r="H6" s="1" t="str">
        <f t="shared" si="0"/>
        <v>High</v>
      </c>
      <c r="I6" s="1" t="str">
        <f t="shared" si="1"/>
        <v>Laptop</v>
      </c>
      <c r="M6" s="6" t="s">
        <v>22</v>
      </c>
      <c r="N6" s="23" t="s">
        <v>25</v>
      </c>
      <c r="O6" s="24"/>
    </row>
    <row r="7" spans="1:15" ht="13.8" x14ac:dyDescent="0.25">
      <c r="A7" s="1">
        <v>6</v>
      </c>
      <c r="B7" s="1" t="s">
        <v>5</v>
      </c>
      <c r="C7" s="1" t="s">
        <v>6</v>
      </c>
      <c r="D7" s="1" t="s">
        <v>14</v>
      </c>
      <c r="E7" s="1">
        <v>3</v>
      </c>
      <c r="F7" s="3">
        <v>131606</v>
      </c>
      <c r="G7" s="3">
        <v>394818</v>
      </c>
      <c r="H7" s="1" t="str">
        <f t="shared" si="0"/>
        <v>Low</v>
      </c>
      <c r="I7" s="1" t="str">
        <f t="shared" si="1"/>
        <v>Laptop</v>
      </c>
      <c r="M7" s="6" t="s">
        <v>23</v>
      </c>
      <c r="N7" s="23">
        <f>_xlfn.XLOOKUP(N6,C2:C501,F2:F501,"No Data",0,1)</f>
        <v>99900</v>
      </c>
      <c r="O7" s="24"/>
    </row>
    <row r="8" spans="1:15" ht="13.2" x14ac:dyDescent="0.25">
      <c r="A8" s="1">
        <v>7</v>
      </c>
      <c r="B8" s="1" t="s">
        <v>11</v>
      </c>
      <c r="C8" s="1" t="s">
        <v>15</v>
      </c>
      <c r="D8" s="1" t="s">
        <v>14</v>
      </c>
      <c r="E8" s="1">
        <v>18</v>
      </c>
      <c r="F8" s="3">
        <v>70627</v>
      </c>
      <c r="G8" s="3">
        <v>1271286</v>
      </c>
      <c r="H8" s="1" t="str">
        <f t="shared" si="0"/>
        <v>High</v>
      </c>
      <c r="I8" s="1" t="str">
        <f t="shared" si="1"/>
        <v>Phone</v>
      </c>
    </row>
    <row r="9" spans="1:15" ht="13.8" x14ac:dyDescent="0.25">
      <c r="A9" s="1">
        <v>8</v>
      </c>
      <c r="B9" s="1" t="s">
        <v>16</v>
      </c>
      <c r="C9" s="1" t="s">
        <v>17</v>
      </c>
      <c r="D9" s="1" t="s">
        <v>13</v>
      </c>
      <c r="E9" s="1">
        <v>7</v>
      </c>
      <c r="F9" s="3">
        <v>99900</v>
      </c>
      <c r="G9" s="3">
        <v>699300</v>
      </c>
      <c r="H9" s="1" t="str">
        <f t="shared" si="0"/>
        <v>Low</v>
      </c>
      <c r="I9" s="1" t="str">
        <f t="shared" si="1"/>
        <v>Tablet</v>
      </c>
      <c r="M9" s="20" t="s">
        <v>27</v>
      </c>
      <c r="N9" s="21"/>
    </row>
    <row r="10" spans="1:15" ht="13.8" x14ac:dyDescent="0.25">
      <c r="A10" s="1">
        <v>9</v>
      </c>
      <c r="B10" s="1" t="s">
        <v>16</v>
      </c>
      <c r="C10" s="1" t="s">
        <v>18</v>
      </c>
      <c r="D10" s="1" t="s">
        <v>7</v>
      </c>
      <c r="E10" s="1">
        <v>4</v>
      </c>
      <c r="F10" s="3">
        <v>43943</v>
      </c>
      <c r="G10" s="3">
        <v>175772</v>
      </c>
      <c r="H10" s="1" t="str">
        <f t="shared" si="0"/>
        <v>Low</v>
      </c>
      <c r="I10" s="1" t="str">
        <f t="shared" si="1"/>
        <v>Tablet</v>
      </c>
      <c r="M10" s="6" t="s">
        <v>4</v>
      </c>
      <c r="N10" s="6" t="s">
        <v>28</v>
      </c>
    </row>
    <row r="11" spans="1:15" ht="13.8" x14ac:dyDescent="0.25">
      <c r="A11" s="1">
        <v>10</v>
      </c>
      <c r="B11" s="1" t="s">
        <v>16</v>
      </c>
      <c r="C11" s="1" t="s">
        <v>18</v>
      </c>
      <c r="D11" s="1" t="s">
        <v>9</v>
      </c>
      <c r="E11" s="1">
        <v>18</v>
      </c>
      <c r="F11" s="3">
        <v>45675</v>
      </c>
      <c r="G11" s="3">
        <v>822150</v>
      </c>
      <c r="H11" s="1" t="str">
        <f t="shared" si="0"/>
        <v>Low</v>
      </c>
      <c r="I11" s="1" t="str">
        <f t="shared" si="1"/>
        <v>Tablet</v>
      </c>
      <c r="M11" s="6">
        <f>INDEX(A1:G501,MATCH(N11,A1:A501,0),MATCH(M10,A1:G1,0))</f>
        <v>394818</v>
      </c>
      <c r="N11" s="6">
        <v>6</v>
      </c>
    </row>
    <row r="12" spans="1:15" ht="13.2" x14ac:dyDescent="0.25">
      <c r="A12" s="1">
        <v>11</v>
      </c>
      <c r="B12" s="1" t="s">
        <v>16</v>
      </c>
      <c r="C12" s="1" t="s">
        <v>17</v>
      </c>
      <c r="D12" s="1" t="s">
        <v>9</v>
      </c>
      <c r="E12" s="1">
        <v>16</v>
      </c>
      <c r="F12" s="3">
        <v>69127</v>
      </c>
      <c r="G12" s="3">
        <v>1106032</v>
      </c>
      <c r="H12" s="1" t="str">
        <f t="shared" si="0"/>
        <v>High</v>
      </c>
      <c r="I12" s="1" t="str">
        <f t="shared" si="1"/>
        <v>Tablet</v>
      </c>
    </row>
    <row r="13" spans="1:15" ht="13.2" x14ac:dyDescent="0.25">
      <c r="A13" s="1">
        <v>12</v>
      </c>
      <c r="B13" s="1" t="s">
        <v>11</v>
      </c>
      <c r="C13" s="1" t="s">
        <v>19</v>
      </c>
      <c r="D13" s="1" t="s">
        <v>7</v>
      </c>
      <c r="E13" s="1">
        <v>8</v>
      </c>
      <c r="F13" s="3">
        <v>84276</v>
      </c>
      <c r="G13" s="3">
        <v>674208</v>
      </c>
      <c r="H13" s="1" t="str">
        <f t="shared" si="0"/>
        <v>Low</v>
      </c>
      <c r="I13" s="1" t="str">
        <f t="shared" si="1"/>
        <v>Phone</v>
      </c>
    </row>
    <row r="14" spans="1:15" ht="13.2" x14ac:dyDescent="0.25">
      <c r="A14" s="1">
        <v>13</v>
      </c>
      <c r="B14" s="1" t="s">
        <v>5</v>
      </c>
      <c r="C14" s="1" t="s">
        <v>6</v>
      </c>
      <c r="D14" s="1" t="s">
        <v>14</v>
      </c>
      <c r="E14" s="1">
        <v>13</v>
      </c>
      <c r="F14" s="3">
        <v>141214</v>
      </c>
      <c r="G14" s="3">
        <v>1835782</v>
      </c>
      <c r="H14" s="1" t="str">
        <f t="shared" si="0"/>
        <v>High</v>
      </c>
      <c r="I14" s="1" t="str">
        <f t="shared" si="1"/>
        <v>Laptop</v>
      </c>
    </row>
    <row r="15" spans="1:15" ht="13.2" x14ac:dyDescent="0.25">
      <c r="A15" s="1">
        <v>14</v>
      </c>
      <c r="B15" s="1" t="s">
        <v>11</v>
      </c>
      <c r="C15" s="1" t="s">
        <v>12</v>
      </c>
      <c r="D15" s="1" t="s">
        <v>13</v>
      </c>
      <c r="E15" s="1">
        <v>7</v>
      </c>
      <c r="F15" s="3">
        <v>62568</v>
      </c>
      <c r="G15" s="3">
        <v>437976</v>
      </c>
      <c r="H15" s="1" t="str">
        <f t="shared" si="0"/>
        <v>Low</v>
      </c>
      <c r="I15" s="1" t="str">
        <f t="shared" si="1"/>
        <v>Phone</v>
      </c>
    </row>
    <row r="16" spans="1:15" ht="13.2" x14ac:dyDescent="0.25">
      <c r="A16" s="1">
        <v>15</v>
      </c>
      <c r="B16" s="1" t="s">
        <v>5</v>
      </c>
      <c r="C16" s="1" t="s">
        <v>6</v>
      </c>
      <c r="D16" s="1" t="s">
        <v>7</v>
      </c>
      <c r="E16" s="1">
        <v>8</v>
      </c>
      <c r="F16" s="3">
        <v>128660</v>
      </c>
      <c r="G16" s="3">
        <v>1029280</v>
      </c>
      <c r="H16" s="1" t="str">
        <f t="shared" si="0"/>
        <v>High</v>
      </c>
      <c r="I16" s="1" t="str">
        <f t="shared" si="1"/>
        <v>Laptop</v>
      </c>
    </row>
    <row r="17" spans="1:9" ht="13.2" x14ac:dyDescent="0.25">
      <c r="A17" s="1">
        <v>16</v>
      </c>
      <c r="B17" s="1" t="s">
        <v>5</v>
      </c>
      <c r="C17" s="1" t="s">
        <v>10</v>
      </c>
      <c r="D17" s="1" t="s">
        <v>9</v>
      </c>
      <c r="E17" s="1">
        <v>9</v>
      </c>
      <c r="F17" s="3">
        <v>98392</v>
      </c>
      <c r="G17" s="3">
        <v>885528</v>
      </c>
      <c r="H17" s="1" t="str">
        <f t="shared" si="0"/>
        <v>Low</v>
      </c>
      <c r="I17" s="1" t="str">
        <f t="shared" si="1"/>
        <v>Laptop</v>
      </c>
    </row>
    <row r="18" spans="1:9" ht="13.2" x14ac:dyDescent="0.25">
      <c r="A18" s="1">
        <v>17</v>
      </c>
      <c r="B18" s="1" t="s">
        <v>16</v>
      </c>
      <c r="C18" s="1" t="s">
        <v>18</v>
      </c>
      <c r="D18" s="1" t="s">
        <v>13</v>
      </c>
      <c r="E18" s="1">
        <v>16</v>
      </c>
      <c r="F18" s="3">
        <v>51837</v>
      </c>
      <c r="G18" s="3">
        <v>829392</v>
      </c>
      <c r="H18" s="1" t="str">
        <f t="shared" si="0"/>
        <v>Low</v>
      </c>
      <c r="I18" s="1" t="str">
        <f t="shared" si="1"/>
        <v>Tablet</v>
      </c>
    </row>
    <row r="19" spans="1:9" ht="13.2" x14ac:dyDescent="0.25">
      <c r="A19" s="1">
        <v>18</v>
      </c>
      <c r="B19" s="1" t="s">
        <v>16</v>
      </c>
      <c r="C19" s="1" t="s">
        <v>17</v>
      </c>
      <c r="D19" s="1" t="s">
        <v>13</v>
      </c>
      <c r="E19" s="1">
        <v>3</v>
      </c>
      <c r="F19" s="3">
        <v>72482</v>
      </c>
      <c r="G19" s="3">
        <v>217446</v>
      </c>
      <c r="H19" s="1" t="str">
        <f t="shared" si="0"/>
        <v>Low</v>
      </c>
      <c r="I19" s="1" t="str">
        <f t="shared" si="1"/>
        <v>Tablet</v>
      </c>
    </row>
    <row r="20" spans="1:9" ht="13.2" x14ac:dyDescent="0.25">
      <c r="A20" s="1">
        <v>19</v>
      </c>
      <c r="B20" s="1" t="s">
        <v>11</v>
      </c>
      <c r="C20" s="1" t="s">
        <v>12</v>
      </c>
      <c r="D20" s="1" t="s">
        <v>7</v>
      </c>
      <c r="E20" s="1">
        <v>14</v>
      </c>
      <c r="F20" s="3">
        <v>85446</v>
      </c>
      <c r="G20" s="3">
        <v>1196244</v>
      </c>
      <c r="H20" s="1" t="str">
        <f t="shared" si="0"/>
        <v>High</v>
      </c>
      <c r="I20" s="1" t="str">
        <f t="shared" si="1"/>
        <v>Phone</v>
      </c>
    </row>
    <row r="21" spans="1:9" ht="13.2" x14ac:dyDescent="0.25">
      <c r="A21" s="1">
        <v>20</v>
      </c>
      <c r="B21" s="1" t="s">
        <v>16</v>
      </c>
      <c r="C21" s="1" t="s">
        <v>18</v>
      </c>
      <c r="D21" s="1" t="s">
        <v>9</v>
      </c>
      <c r="E21" s="1">
        <v>19</v>
      </c>
      <c r="F21" s="3">
        <v>90015</v>
      </c>
      <c r="G21" s="3">
        <v>1710285</v>
      </c>
      <c r="H21" s="1" t="str">
        <f t="shared" si="0"/>
        <v>High</v>
      </c>
      <c r="I21" s="1" t="str">
        <f t="shared" si="1"/>
        <v>Tablet</v>
      </c>
    </row>
    <row r="22" spans="1:9" ht="13.2" x14ac:dyDescent="0.25">
      <c r="A22" s="1">
        <v>21</v>
      </c>
      <c r="B22" s="1" t="s">
        <v>11</v>
      </c>
      <c r="C22" s="1" t="s">
        <v>19</v>
      </c>
      <c r="D22" s="1" t="s">
        <v>13</v>
      </c>
      <c r="E22" s="1">
        <v>5</v>
      </c>
      <c r="F22" s="3">
        <v>100342</v>
      </c>
      <c r="G22" s="3">
        <v>501710</v>
      </c>
      <c r="H22" s="1" t="str">
        <f t="shared" si="0"/>
        <v>Low</v>
      </c>
      <c r="I22" s="1" t="str">
        <f t="shared" si="1"/>
        <v>Phone</v>
      </c>
    </row>
    <row r="23" spans="1:9" ht="13.2" x14ac:dyDescent="0.25">
      <c r="A23" s="1">
        <v>22</v>
      </c>
      <c r="B23" s="1" t="s">
        <v>5</v>
      </c>
      <c r="C23" s="1" t="s">
        <v>10</v>
      </c>
      <c r="D23" s="1" t="s">
        <v>9</v>
      </c>
      <c r="E23" s="1">
        <v>2</v>
      </c>
      <c r="F23" s="3">
        <v>199556</v>
      </c>
      <c r="G23" s="3">
        <v>399112</v>
      </c>
      <c r="H23" s="1" t="str">
        <f t="shared" si="0"/>
        <v>Low</v>
      </c>
      <c r="I23" s="1" t="str">
        <f t="shared" si="1"/>
        <v>Laptop</v>
      </c>
    </row>
    <row r="24" spans="1:9" ht="13.2" x14ac:dyDescent="0.25">
      <c r="A24" s="1">
        <v>23</v>
      </c>
      <c r="B24" s="1" t="s">
        <v>16</v>
      </c>
      <c r="C24" s="1" t="s">
        <v>20</v>
      </c>
      <c r="D24" s="1" t="s">
        <v>9</v>
      </c>
      <c r="E24" s="1">
        <v>11</v>
      </c>
      <c r="F24" s="3">
        <v>66105</v>
      </c>
      <c r="G24" s="3">
        <v>727155</v>
      </c>
      <c r="H24" s="1" t="str">
        <f t="shared" si="0"/>
        <v>Low</v>
      </c>
      <c r="I24" s="1" t="str">
        <f t="shared" si="1"/>
        <v>Tablet</v>
      </c>
    </row>
    <row r="25" spans="1:9" ht="13.2" x14ac:dyDescent="0.25">
      <c r="A25" s="1">
        <v>24</v>
      </c>
      <c r="B25" s="1" t="s">
        <v>11</v>
      </c>
      <c r="C25" s="1" t="s">
        <v>15</v>
      </c>
      <c r="D25" s="1" t="s">
        <v>9</v>
      </c>
      <c r="E25" s="1">
        <v>1</v>
      </c>
      <c r="F25" s="3">
        <v>90080</v>
      </c>
      <c r="G25" s="3">
        <v>90080</v>
      </c>
      <c r="H25" s="1" t="str">
        <f t="shared" si="0"/>
        <v>Low</v>
      </c>
      <c r="I25" s="1" t="str">
        <f t="shared" si="1"/>
        <v>Phone</v>
      </c>
    </row>
    <row r="26" spans="1:9" ht="13.2" x14ac:dyDescent="0.25">
      <c r="A26" s="1">
        <v>25</v>
      </c>
      <c r="B26" s="1" t="s">
        <v>11</v>
      </c>
      <c r="C26" s="1" t="s">
        <v>12</v>
      </c>
      <c r="D26" s="1" t="s">
        <v>13</v>
      </c>
      <c r="E26" s="1">
        <v>3</v>
      </c>
      <c r="F26" s="3">
        <v>100294</v>
      </c>
      <c r="G26" s="3">
        <v>300882</v>
      </c>
      <c r="H26" s="1" t="str">
        <f t="shared" si="0"/>
        <v>Low</v>
      </c>
      <c r="I26" s="1" t="str">
        <f t="shared" si="1"/>
        <v>Phone</v>
      </c>
    </row>
    <row r="27" spans="1:9" ht="13.2" x14ac:dyDescent="0.25">
      <c r="A27" s="1">
        <v>26</v>
      </c>
      <c r="B27" s="1" t="s">
        <v>11</v>
      </c>
      <c r="C27" s="1" t="s">
        <v>19</v>
      </c>
      <c r="D27" s="1" t="s">
        <v>9</v>
      </c>
      <c r="E27" s="1">
        <v>5</v>
      </c>
      <c r="F27" s="3">
        <v>91968</v>
      </c>
      <c r="G27" s="3">
        <v>459840</v>
      </c>
      <c r="H27" s="1" t="str">
        <f t="shared" si="0"/>
        <v>Low</v>
      </c>
      <c r="I27" s="1" t="str">
        <f t="shared" si="1"/>
        <v>Phone</v>
      </c>
    </row>
    <row r="28" spans="1:9" ht="13.2" x14ac:dyDescent="0.25">
      <c r="A28" s="1">
        <v>27</v>
      </c>
      <c r="B28" s="1" t="s">
        <v>5</v>
      </c>
      <c r="C28" s="1" t="s">
        <v>8</v>
      </c>
      <c r="D28" s="1" t="s">
        <v>21</v>
      </c>
      <c r="E28" s="1">
        <v>9</v>
      </c>
      <c r="F28" s="3">
        <v>141005</v>
      </c>
      <c r="G28" s="3">
        <v>1269045</v>
      </c>
      <c r="H28" s="1" t="str">
        <f t="shared" si="0"/>
        <v>High</v>
      </c>
      <c r="I28" s="1" t="str">
        <f t="shared" si="1"/>
        <v>Laptop</v>
      </c>
    </row>
    <row r="29" spans="1:9" ht="13.2" x14ac:dyDescent="0.25">
      <c r="A29" s="1">
        <v>28</v>
      </c>
      <c r="B29" s="1" t="s">
        <v>16</v>
      </c>
      <c r="C29" s="1" t="s">
        <v>20</v>
      </c>
      <c r="D29" s="1" t="s">
        <v>14</v>
      </c>
      <c r="E29" s="1">
        <v>7</v>
      </c>
      <c r="F29" s="3">
        <v>63938</v>
      </c>
      <c r="G29" s="3">
        <v>447566</v>
      </c>
      <c r="H29" s="1" t="str">
        <f t="shared" si="0"/>
        <v>Low</v>
      </c>
      <c r="I29" s="1" t="str">
        <f t="shared" si="1"/>
        <v>Tablet</v>
      </c>
    </row>
    <row r="30" spans="1:9" ht="13.2" x14ac:dyDescent="0.25">
      <c r="A30" s="1">
        <v>29</v>
      </c>
      <c r="B30" s="1" t="s">
        <v>11</v>
      </c>
      <c r="C30" s="1" t="s">
        <v>12</v>
      </c>
      <c r="D30" s="1" t="s">
        <v>14</v>
      </c>
      <c r="E30" s="1">
        <v>17</v>
      </c>
      <c r="F30" s="3">
        <v>88673</v>
      </c>
      <c r="G30" s="3">
        <v>1507441</v>
      </c>
      <c r="H30" s="1" t="str">
        <f t="shared" si="0"/>
        <v>High</v>
      </c>
      <c r="I30" s="1" t="str">
        <f t="shared" si="1"/>
        <v>Phone</v>
      </c>
    </row>
    <row r="31" spans="1:9" ht="13.2" x14ac:dyDescent="0.25">
      <c r="A31" s="1">
        <v>30</v>
      </c>
      <c r="B31" s="1" t="s">
        <v>11</v>
      </c>
      <c r="C31" s="1" t="s">
        <v>12</v>
      </c>
      <c r="D31" s="1" t="s">
        <v>7</v>
      </c>
      <c r="E31" s="1">
        <v>19</v>
      </c>
      <c r="F31" s="3">
        <v>106717</v>
      </c>
      <c r="G31" s="3">
        <v>2027623</v>
      </c>
      <c r="H31" s="1" t="str">
        <f t="shared" si="0"/>
        <v>High</v>
      </c>
      <c r="I31" s="1" t="str">
        <f t="shared" si="1"/>
        <v>Phone</v>
      </c>
    </row>
    <row r="32" spans="1:9" ht="13.2" x14ac:dyDescent="0.25">
      <c r="A32" s="1">
        <v>31</v>
      </c>
      <c r="B32" s="1" t="s">
        <v>16</v>
      </c>
      <c r="C32" s="1" t="s">
        <v>17</v>
      </c>
      <c r="D32" s="1" t="s">
        <v>13</v>
      </c>
      <c r="E32" s="1">
        <v>4</v>
      </c>
      <c r="F32" s="3">
        <v>72970</v>
      </c>
      <c r="G32" s="3">
        <v>291880</v>
      </c>
      <c r="H32" s="1" t="str">
        <f t="shared" si="0"/>
        <v>Low</v>
      </c>
      <c r="I32" s="1" t="str">
        <f t="shared" si="1"/>
        <v>Tablet</v>
      </c>
    </row>
    <row r="33" spans="1:9" ht="13.2" x14ac:dyDescent="0.25">
      <c r="A33" s="1">
        <v>32</v>
      </c>
      <c r="B33" s="1" t="s">
        <v>11</v>
      </c>
      <c r="C33" s="1" t="s">
        <v>15</v>
      </c>
      <c r="D33" s="1" t="s">
        <v>13</v>
      </c>
      <c r="E33" s="1">
        <v>6</v>
      </c>
      <c r="F33" s="3">
        <v>62327</v>
      </c>
      <c r="G33" s="3">
        <v>373962</v>
      </c>
      <c r="H33" s="1" t="str">
        <f t="shared" si="0"/>
        <v>Low</v>
      </c>
      <c r="I33" s="1" t="str">
        <f t="shared" si="1"/>
        <v>Phone</v>
      </c>
    </row>
    <row r="34" spans="1:9" ht="13.2" x14ac:dyDescent="0.25">
      <c r="A34" s="1">
        <v>33</v>
      </c>
      <c r="B34" s="1" t="s">
        <v>5</v>
      </c>
      <c r="C34" s="1" t="s">
        <v>6</v>
      </c>
      <c r="D34" s="1" t="s">
        <v>14</v>
      </c>
      <c r="E34" s="1">
        <v>9</v>
      </c>
      <c r="F34" s="3">
        <v>141663</v>
      </c>
      <c r="G34" s="3">
        <v>1274967</v>
      </c>
      <c r="H34" s="1" t="str">
        <f t="shared" si="0"/>
        <v>High</v>
      </c>
      <c r="I34" s="1" t="str">
        <f t="shared" si="1"/>
        <v>Laptop</v>
      </c>
    </row>
    <row r="35" spans="1:9" ht="13.2" x14ac:dyDescent="0.25">
      <c r="A35" s="1">
        <v>34</v>
      </c>
      <c r="B35" s="1" t="s">
        <v>5</v>
      </c>
      <c r="C35" s="1" t="s">
        <v>8</v>
      </c>
      <c r="D35" s="1" t="s">
        <v>13</v>
      </c>
      <c r="E35" s="1">
        <v>4</v>
      </c>
      <c r="F35" s="3">
        <v>124754</v>
      </c>
      <c r="G35" s="3">
        <v>499016</v>
      </c>
      <c r="H35" s="1" t="str">
        <f t="shared" si="0"/>
        <v>Low</v>
      </c>
      <c r="I35" s="1" t="str">
        <f t="shared" si="1"/>
        <v>Laptop</v>
      </c>
    </row>
    <row r="36" spans="1:9" ht="13.2" x14ac:dyDescent="0.25">
      <c r="A36" s="1">
        <v>35</v>
      </c>
      <c r="B36" s="1" t="s">
        <v>5</v>
      </c>
      <c r="C36" s="1" t="s">
        <v>6</v>
      </c>
      <c r="D36" s="1" t="s">
        <v>21</v>
      </c>
      <c r="E36" s="1">
        <v>1</v>
      </c>
      <c r="F36" s="3">
        <v>190689</v>
      </c>
      <c r="G36" s="3">
        <v>190689</v>
      </c>
      <c r="H36" s="1" t="str">
        <f t="shared" si="0"/>
        <v>Low</v>
      </c>
      <c r="I36" s="1" t="str">
        <f t="shared" si="1"/>
        <v>Laptop</v>
      </c>
    </row>
    <row r="37" spans="1:9" ht="13.2" x14ac:dyDescent="0.25">
      <c r="A37" s="1">
        <v>36</v>
      </c>
      <c r="B37" s="1" t="s">
        <v>5</v>
      </c>
      <c r="C37" s="1" t="s">
        <v>6</v>
      </c>
      <c r="D37" s="1" t="s">
        <v>7</v>
      </c>
      <c r="E37" s="1">
        <v>18</v>
      </c>
      <c r="F37" s="3">
        <v>175981</v>
      </c>
      <c r="G37" s="3">
        <v>3167658</v>
      </c>
      <c r="H37" s="1" t="str">
        <f t="shared" si="0"/>
        <v>High</v>
      </c>
      <c r="I37" s="1" t="str">
        <f t="shared" si="1"/>
        <v>Laptop</v>
      </c>
    </row>
    <row r="38" spans="1:9" ht="13.2" x14ac:dyDescent="0.25">
      <c r="A38" s="1">
        <v>37</v>
      </c>
      <c r="B38" s="1" t="s">
        <v>5</v>
      </c>
      <c r="C38" s="1" t="s">
        <v>8</v>
      </c>
      <c r="D38" s="1" t="s">
        <v>9</v>
      </c>
      <c r="E38" s="1">
        <v>16</v>
      </c>
      <c r="F38" s="3">
        <v>197512</v>
      </c>
      <c r="G38" s="3">
        <v>3160192</v>
      </c>
      <c r="H38" s="1" t="str">
        <f t="shared" si="0"/>
        <v>High</v>
      </c>
      <c r="I38" s="1" t="str">
        <f t="shared" si="1"/>
        <v>Laptop</v>
      </c>
    </row>
    <row r="39" spans="1:9" ht="13.2" x14ac:dyDescent="0.25">
      <c r="A39" s="1">
        <v>38</v>
      </c>
      <c r="B39" s="1" t="s">
        <v>11</v>
      </c>
      <c r="C39" s="1" t="s">
        <v>19</v>
      </c>
      <c r="D39" s="1" t="s">
        <v>14</v>
      </c>
      <c r="E39" s="1">
        <v>1</v>
      </c>
      <c r="F39" s="3">
        <v>98191</v>
      </c>
      <c r="G39" s="3">
        <v>98191</v>
      </c>
      <c r="H39" s="1" t="str">
        <f t="shared" si="0"/>
        <v>Low</v>
      </c>
      <c r="I39" s="1" t="str">
        <f t="shared" si="1"/>
        <v>Phone</v>
      </c>
    </row>
    <row r="40" spans="1:9" ht="13.2" x14ac:dyDescent="0.25">
      <c r="A40" s="1">
        <v>39</v>
      </c>
      <c r="B40" s="1" t="s">
        <v>5</v>
      </c>
      <c r="C40" s="1" t="s">
        <v>8</v>
      </c>
      <c r="D40" s="1" t="s">
        <v>13</v>
      </c>
      <c r="E40" s="1">
        <v>9</v>
      </c>
      <c r="F40" s="3">
        <v>105151</v>
      </c>
      <c r="G40" s="3">
        <v>946359</v>
      </c>
      <c r="H40" s="1" t="str">
        <f t="shared" si="0"/>
        <v>Low</v>
      </c>
      <c r="I40" s="1" t="str">
        <f t="shared" si="1"/>
        <v>Laptop</v>
      </c>
    </row>
    <row r="41" spans="1:9" ht="13.2" x14ac:dyDescent="0.25">
      <c r="A41" s="1">
        <v>40</v>
      </c>
      <c r="B41" s="1" t="s">
        <v>16</v>
      </c>
      <c r="C41" s="1" t="s">
        <v>18</v>
      </c>
      <c r="D41" s="1" t="s">
        <v>9</v>
      </c>
      <c r="E41" s="1">
        <v>11</v>
      </c>
      <c r="F41" s="3">
        <v>72711</v>
      </c>
      <c r="G41" s="3">
        <v>799821</v>
      </c>
      <c r="H41" s="1" t="str">
        <f t="shared" si="0"/>
        <v>Low</v>
      </c>
      <c r="I41" s="1" t="str">
        <f t="shared" si="1"/>
        <v>Tablet</v>
      </c>
    </row>
    <row r="42" spans="1:9" ht="13.2" x14ac:dyDescent="0.25">
      <c r="A42" s="1">
        <v>41</v>
      </c>
      <c r="B42" s="1" t="s">
        <v>16</v>
      </c>
      <c r="C42" s="1" t="s">
        <v>17</v>
      </c>
      <c r="D42" s="1" t="s">
        <v>14</v>
      </c>
      <c r="E42" s="1">
        <v>16</v>
      </c>
      <c r="F42" s="3">
        <v>78360</v>
      </c>
      <c r="G42" s="3">
        <v>1253760</v>
      </c>
      <c r="H42" s="1" t="str">
        <f t="shared" si="0"/>
        <v>High</v>
      </c>
      <c r="I42" s="1" t="str">
        <f t="shared" si="1"/>
        <v>Tablet</v>
      </c>
    </row>
    <row r="43" spans="1:9" ht="13.2" x14ac:dyDescent="0.25">
      <c r="A43" s="1">
        <v>42</v>
      </c>
      <c r="B43" s="1" t="s">
        <v>16</v>
      </c>
      <c r="C43" s="1" t="s">
        <v>20</v>
      </c>
      <c r="D43" s="1" t="s">
        <v>21</v>
      </c>
      <c r="E43" s="1">
        <v>18</v>
      </c>
      <c r="F43" s="3">
        <v>42869</v>
      </c>
      <c r="G43" s="3">
        <v>771642</v>
      </c>
      <c r="H43" s="1" t="str">
        <f t="shared" si="0"/>
        <v>Low</v>
      </c>
      <c r="I43" s="1" t="str">
        <f t="shared" si="1"/>
        <v>Tablet</v>
      </c>
    </row>
    <row r="44" spans="1:9" ht="13.2" x14ac:dyDescent="0.25">
      <c r="A44" s="1">
        <v>43</v>
      </c>
      <c r="B44" s="1" t="s">
        <v>11</v>
      </c>
      <c r="C44" s="1" t="s">
        <v>12</v>
      </c>
      <c r="D44" s="1" t="s">
        <v>13</v>
      </c>
      <c r="E44" s="1">
        <v>14</v>
      </c>
      <c r="F44" s="3">
        <v>85876</v>
      </c>
      <c r="G44" s="3">
        <v>1202264</v>
      </c>
      <c r="H44" s="1" t="str">
        <f t="shared" si="0"/>
        <v>High</v>
      </c>
      <c r="I44" s="1" t="str">
        <f t="shared" si="1"/>
        <v>Phone</v>
      </c>
    </row>
    <row r="45" spans="1:9" ht="13.2" x14ac:dyDescent="0.25">
      <c r="A45" s="1">
        <v>44</v>
      </c>
      <c r="B45" s="1" t="s">
        <v>11</v>
      </c>
      <c r="C45" s="1" t="s">
        <v>12</v>
      </c>
      <c r="D45" s="1" t="s">
        <v>14</v>
      </c>
      <c r="E45" s="1">
        <v>16</v>
      </c>
      <c r="F45" s="3">
        <v>64555</v>
      </c>
      <c r="G45" s="3">
        <v>1032880</v>
      </c>
      <c r="H45" s="1" t="str">
        <f t="shared" si="0"/>
        <v>High</v>
      </c>
      <c r="I45" s="1" t="str">
        <f t="shared" si="1"/>
        <v>Phone</v>
      </c>
    </row>
    <row r="46" spans="1:9" ht="13.2" x14ac:dyDescent="0.25">
      <c r="A46" s="1">
        <v>45</v>
      </c>
      <c r="B46" s="1" t="s">
        <v>5</v>
      </c>
      <c r="C46" s="1" t="s">
        <v>10</v>
      </c>
      <c r="D46" s="1" t="s">
        <v>14</v>
      </c>
      <c r="E46" s="1">
        <v>8</v>
      </c>
      <c r="F46" s="3">
        <v>139377</v>
      </c>
      <c r="G46" s="3">
        <v>1115016</v>
      </c>
      <c r="H46" s="1" t="str">
        <f t="shared" si="0"/>
        <v>High</v>
      </c>
      <c r="I46" s="1" t="str">
        <f t="shared" si="1"/>
        <v>Laptop</v>
      </c>
    </row>
    <row r="47" spans="1:9" ht="13.2" x14ac:dyDescent="0.25">
      <c r="A47" s="1">
        <v>46</v>
      </c>
      <c r="B47" s="1" t="s">
        <v>16</v>
      </c>
      <c r="C47" s="1" t="s">
        <v>18</v>
      </c>
      <c r="D47" s="1" t="s">
        <v>14</v>
      </c>
      <c r="E47" s="1">
        <v>15</v>
      </c>
      <c r="F47" s="3">
        <v>45600</v>
      </c>
      <c r="G47" s="3">
        <v>684000</v>
      </c>
      <c r="H47" s="1" t="str">
        <f t="shared" si="0"/>
        <v>Low</v>
      </c>
      <c r="I47" s="1" t="str">
        <f t="shared" si="1"/>
        <v>Tablet</v>
      </c>
    </row>
    <row r="48" spans="1:9" ht="13.2" x14ac:dyDescent="0.25">
      <c r="A48" s="1">
        <v>47</v>
      </c>
      <c r="B48" s="1" t="s">
        <v>5</v>
      </c>
      <c r="C48" s="1" t="s">
        <v>8</v>
      </c>
      <c r="D48" s="1" t="s">
        <v>14</v>
      </c>
      <c r="E48" s="1">
        <v>17</v>
      </c>
      <c r="F48" s="3">
        <v>214123</v>
      </c>
      <c r="G48" s="3">
        <v>3640091</v>
      </c>
      <c r="H48" s="1" t="str">
        <f t="shared" si="0"/>
        <v>High</v>
      </c>
      <c r="I48" s="1" t="str">
        <f t="shared" si="1"/>
        <v>Laptop</v>
      </c>
    </row>
    <row r="49" spans="1:9" ht="13.2" x14ac:dyDescent="0.25">
      <c r="A49" s="1">
        <v>48</v>
      </c>
      <c r="B49" s="1" t="s">
        <v>16</v>
      </c>
      <c r="C49" s="1" t="s">
        <v>18</v>
      </c>
      <c r="D49" s="1" t="s">
        <v>14</v>
      </c>
      <c r="E49" s="1">
        <v>6</v>
      </c>
      <c r="F49" s="3">
        <v>72635</v>
      </c>
      <c r="G49" s="3">
        <v>435810</v>
      </c>
      <c r="H49" s="1" t="str">
        <f t="shared" si="0"/>
        <v>Low</v>
      </c>
      <c r="I49" s="1" t="str">
        <f t="shared" si="1"/>
        <v>Tablet</v>
      </c>
    </row>
    <row r="50" spans="1:9" ht="13.2" x14ac:dyDescent="0.25">
      <c r="A50" s="1">
        <v>49</v>
      </c>
      <c r="B50" s="1" t="s">
        <v>11</v>
      </c>
      <c r="C50" s="1" t="s">
        <v>12</v>
      </c>
      <c r="D50" s="1" t="s">
        <v>14</v>
      </c>
      <c r="E50" s="1">
        <v>14</v>
      </c>
      <c r="F50" s="3">
        <v>105236</v>
      </c>
      <c r="G50" s="3">
        <v>1473304</v>
      </c>
      <c r="H50" s="1" t="str">
        <f t="shared" si="0"/>
        <v>High</v>
      </c>
      <c r="I50" s="1" t="str">
        <f t="shared" si="1"/>
        <v>Phone</v>
      </c>
    </row>
    <row r="51" spans="1:9" ht="13.2" x14ac:dyDescent="0.25">
      <c r="A51" s="1">
        <v>50</v>
      </c>
      <c r="B51" s="1" t="s">
        <v>11</v>
      </c>
      <c r="C51" s="1" t="s">
        <v>15</v>
      </c>
      <c r="D51" s="1" t="s">
        <v>21</v>
      </c>
      <c r="E51" s="1">
        <v>1</v>
      </c>
      <c r="F51" s="3">
        <v>112479</v>
      </c>
      <c r="G51" s="3">
        <v>112479</v>
      </c>
      <c r="H51" s="1" t="str">
        <f t="shared" si="0"/>
        <v>Low</v>
      </c>
      <c r="I51" s="1" t="str">
        <f t="shared" si="1"/>
        <v>Phone</v>
      </c>
    </row>
    <row r="52" spans="1:9" ht="13.2" x14ac:dyDescent="0.25">
      <c r="A52" s="1">
        <v>51</v>
      </c>
      <c r="B52" s="1" t="s">
        <v>16</v>
      </c>
      <c r="C52" s="1" t="s">
        <v>17</v>
      </c>
      <c r="D52" s="1" t="s">
        <v>7</v>
      </c>
      <c r="E52" s="1">
        <v>3</v>
      </c>
      <c r="F52" s="3">
        <v>91885</v>
      </c>
      <c r="G52" s="3">
        <v>275655</v>
      </c>
      <c r="H52" s="1" t="str">
        <f t="shared" si="0"/>
        <v>Low</v>
      </c>
      <c r="I52" s="1" t="str">
        <f t="shared" si="1"/>
        <v>Tablet</v>
      </c>
    </row>
    <row r="53" spans="1:9" ht="13.2" x14ac:dyDescent="0.25">
      <c r="A53" s="1">
        <v>52</v>
      </c>
      <c r="B53" s="1" t="s">
        <v>5</v>
      </c>
      <c r="C53" s="1" t="s">
        <v>10</v>
      </c>
      <c r="D53" s="1" t="s">
        <v>7</v>
      </c>
      <c r="E53" s="1">
        <v>2</v>
      </c>
      <c r="F53" s="3">
        <v>100729</v>
      </c>
      <c r="G53" s="3">
        <v>201458</v>
      </c>
      <c r="H53" s="1" t="str">
        <f t="shared" si="0"/>
        <v>Low</v>
      </c>
      <c r="I53" s="1" t="str">
        <f t="shared" si="1"/>
        <v>Laptop</v>
      </c>
    </row>
    <row r="54" spans="1:9" ht="13.2" x14ac:dyDescent="0.25">
      <c r="A54" s="1">
        <v>53</v>
      </c>
      <c r="B54" s="1" t="s">
        <v>16</v>
      </c>
      <c r="C54" s="1" t="s">
        <v>18</v>
      </c>
      <c r="D54" s="1" t="s">
        <v>14</v>
      </c>
      <c r="E54" s="1">
        <v>8</v>
      </c>
      <c r="F54" s="3">
        <v>80328</v>
      </c>
      <c r="G54" s="3">
        <v>642624</v>
      </c>
      <c r="H54" s="1" t="str">
        <f t="shared" si="0"/>
        <v>Low</v>
      </c>
      <c r="I54" s="1" t="str">
        <f t="shared" si="1"/>
        <v>Tablet</v>
      </c>
    </row>
    <row r="55" spans="1:9" ht="13.2" x14ac:dyDescent="0.25">
      <c r="A55" s="1">
        <v>54</v>
      </c>
      <c r="B55" s="1" t="s">
        <v>16</v>
      </c>
      <c r="C55" s="1" t="s">
        <v>17</v>
      </c>
      <c r="D55" s="1" t="s">
        <v>14</v>
      </c>
      <c r="E55" s="1">
        <v>3</v>
      </c>
      <c r="F55" s="3">
        <v>69592</v>
      </c>
      <c r="G55" s="3">
        <v>208776</v>
      </c>
      <c r="H55" s="1" t="str">
        <f t="shared" si="0"/>
        <v>Low</v>
      </c>
      <c r="I55" s="1" t="str">
        <f t="shared" si="1"/>
        <v>Tablet</v>
      </c>
    </row>
    <row r="56" spans="1:9" ht="13.2" x14ac:dyDescent="0.25">
      <c r="A56" s="1">
        <v>55</v>
      </c>
      <c r="B56" s="1" t="s">
        <v>16</v>
      </c>
      <c r="C56" s="1" t="s">
        <v>17</v>
      </c>
      <c r="D56" s="1" t="s">
        <v>9</v>
      </c>
      <c r="E56" s="1">
        <v>4</v>
      </c>
      <c r="F56" s="3">
        <v>42368</v>
      </c>
      <c r="G56" s="3">
        <v>169472</v>
      </c>
      <c r="H56" s="1" t="str">
        <f t="shared" si="0"/>
        <v>Low</v>
      </c>
      <c r="I56" s="1" t="str">
        <f t="shared" si="1"/>
        <v>Tablet</v>
      </c>
    </row>
    <row r="57" spans="1:9" ht="13.2" x14ac:dyDescent="0.25">
      <c r="A57" s="1">
        <v>56</v>
      </c>
      <c r="B57" s="1" t="s">
        <v>5</v>
      </c>
      <c r="C57" s="1" t="s">
        <v>8</v>
      </c>
      <c r="D57" s="1" t="s">
        <v>13</v>
      </c>
      <c r="E57" s="1">
        <v>15</v>
      </c>
      <c r="F57" s="3">
        <v>232038</v>
      </c>
      <c r="G57" s="3">
        <v>3480570</v>
      </c>
      <c r="H57" s="1" t="str">
        <f t="shared" si="0"/>
        <v>High</v>
      </c>
      <c r="I57" s="1" t="str">
        <f t="shared" si="1"/>
        <v>Laptop</v>
      </c>
    </row>
    <row r="58" spans="1:9" ht="13.2" x14ac:dyDescent="0.25">
      <c r="A58" s="1">
        <v>57</v>
      </c>
      <c r="B58" s="1" t="s">
        <v>11</v>
      </c>
      <c r="C58" s="1" t="s">
        <v>19</v>
      </c>
      <c r="D58" s="1" t="s">
        <v>13</v>
      </c>
      <c r="E58" s="1">
        <v>17</v>
      </c>
      <c r="F58" s="3">
        <v>102675</v>
      </c>
      <c r="G58" s="3">
        <v>1745475</v>
      </c>
      <c r="H58" s="1" t="str">
        <f t="shared" si="0"/>
        <v>High</v>
      </c>
      <c r="I58" s="1" t="str">
        <f t="shared" si="1"/>
        <v>Phone</v>
      </c>
    </row>
    <row r="59" spans="1:9" ht="13.2" x14ac:dyDescent="0.25">
      <c r="A59" s="1">
        <v>58</v>
      </c>
      <c r="B59" s="1" t="s">
        <v>11</v>
      </c>
      <c r="C59" s="1" t="s">
        <v>12</v>
      </c>
      <c r="D59" s="1" t="s">
        <v>9</v>
      </c>
      <c r="E59" s="1">
        <v>8</v>
      </c>
      <c r="F59" s="3">
        <v>79508</v>
      </c>
      <c r="G59" s="3">
        <v>636064</v>
      </c>
      <c r="H59" s="1" t="str">
        <f t="shared" si="0"/>
        <v>Low</v>
      </c>
      <c r="I59" s="1" t="str">
        <f t="shared" si="1"/>
        <v>Phone</v>
      </c>
    </row>
    <row r="60" spans="1:9" ht="13.2" x14ac:dyDescent="0.25">
      <c r="A60" s="1">
        <v>59</v>
      </c>
      <c r="B60" s="1" t="s">
        <v>11</v>
      </c>
      <c r="C60" s="1" t="s">
        <v>15</v>
      </c>
      <c r="D60" s="1" t="s">
        <v>14</v>
      </c>
      <c r="E60" s="1">
        <v>4</v>
      </c>
      <c r="F60" s="3">
        <v>114021</v>
      </c>
      <c r="G60" s="3">
        <v>456084</v>
      </c>
      <c r="H60" s="1" t="str">
        <f t="shared" si="0"/>
        <v>Low</v>
      </c>
      <c r="I60" s="1" t="str">
        <f t="shared" si="1"/>
        <v>Phone</v>
      </c>
    </row>
    <row r="61" spans="1:9" ht="13.2" x14ac:dyDescent="0.25">
      <c r="A61" s="1">
        <v>60</v>
      </c>
      <c r="B61" s="1" t="s">
        <v>16</v>
      </c>
      <c r="C61" s="1" t="s">
        <v>20</v>
      </c>
      <c r="D61" s="1" t="s">
        <v>13</v>
      </c>
      <c r="E61" s="1">
        <v>19</v>
      </c>
      <c r="F61" s="3">
        <v>48311</v>
      </c>
      <c r="G61" s="3">
        <v>917909</v>
      </c>
      <c r="H61" s="1" t="str">
        <f t="shared" si="0"/>
        <v>Low</v>
      </c>
      <c r="I61" s="1" t="str">
        <f t="shared" si="1"/>
        <v>Tablet</v>
      </c>
    </row>
    <row r="62" spans="1:9" ht="13.2" x14ac:dyDescent="0.25">
      <c r="A62" s="1">
        <v>61</v>
      </c>
      <c r="B62" s="1" t="s">
        <v>16</v>
      </c>
      <c r="C62" s="1" t="s">
        <v>17</v>
      </c>
      <c r="D62" s="1" t="s">
        <v>21</v>
      </c>
      <c r="E62" s="1">
        <v>5</v>
      </c>
      <c r="F62" s="3">
        <v>48308</v>
      </c>
      <c r="G62" s="3">
        <v>241540</v>
      </c>
      <c r="H62" s="1" t="str">
        <f t="shared" si="0"/>
        <v>Low</v>
      </c>
      <c r="I62" s="1" t="str">
        <f t="shared" si="1"/>
        <v>Tablet</v>
      </c>
    </row>
    <row r="63" spans="1:9" ht="13.2" x14ac:dyDescent="0.25">
      <c r="A63" s="1">
        <v>62</v>
      </c>
      <c r="B63" s="1" t="s">
        <v>11</v>
      </c>
      <c r="C63" s="1" t="s">
        <v>12</v>
      </c>
      <c r="D63" s="1" t="s">
        <v>21</v>
      </c>
      <c r="E63" s="1">
        <v>1</v>
      </c>
      <c r="F63" s="3">
        <v>106175</v>
      </c>
      <c r="G63" s="3">
        <v>106175</v>
      </c>
      <c r="H63" s="1" t="str">
        <f t="shared" si="0"/>
        <v>Low</v>
      </c>
      <c r="I63" s="1" t="str">
        <f t="shared" si="1"/>
        <v>Phone</v>
      </c>
    </row>
    <row r="64" spans="1:9" ht="13.2" x14ac:dyDescent="0.25">
      <c r="A64" s="1">
        <v>63</v>
      </c>
      <c r="B64" s="1" t="s">
        <v>11</v>
      </c>
      <c r="C64" s="1" t="s">
        <v>12</v>
      </c>
      <c r="D64" s="1" t="s">
        <v>14</v>
      </c>
      <c r="E64" s="1">
        <v>1</v>
      </c>
      <c r="F64" s="3">
        <v>63343</v>
      </c>
      <c r="G64" s="3">
        <v>63343</v>
      </c>
      <c r="H64" s="1" t="str">
        <f t="shared" si="0"/>
        <v>Low</v>
      </c>
      <c r="I64" s="1" t="str">
        <f t="shared" si="1"/>
        <v>Phone</v>
      </c>
    </row>
    <row r="65" spans="1:9" ht="13.2" x14ac:dyDescent="0.25">
      <c r="A65" s="1">
        <v>64</v>
      </c>
      <c r="B65" s="1" t="s">
        <v>16</v>
      </c>
      <c r="C65" s="1" t="s">
        <v>18</v>
      </c>
      <c r="D65" s="1" t="s">
        <v>13</v>
      </c>
      <c r="E65" s="1">
        <v>3</v>
      </c>
      <c r="F65" s="3">
        <v>93401</v>
      </c>
      <c r="G65" s="3">
        <v>280203</v>
      </c>
      <c r="H65" s="1" t="str">
        <f t="shared" si="0"/>
        <v>Low</v>
      </c>
      <c r="I65" s="1" t="str">
        <f t="shared" si="1"/>
        <v>Tablet</v>
      </c>
    </row>
    <row r="66" spans="1:9" ht="13.2" x14ac:dyDescent="0.25">
      <c r="A66" s="1">
        <v>65</v>
      </c>
      <c r="B66" s="1" t="s">
        <v>11</v>
      </c>
      <c r="C66" s="1" t="s">
        <v>19</v>
      </c>
      <c r="D66" s="1" t="s">
        <v>9</v>
      </c>
      <c r="E66" s="1">
        <v>14</v>
      </c>
      <c r="F66" s="3">
        <v>69435</v>
      </c>
      <c r="G66" s="3">
        <v>972090</v>
      </c>
      <c r="H66" s="1" t="str">
        <f t="shared" ref="H66:H129" si="2">IF(G66&gt;1000000,"High","Low")</f>
        <v>Low</v>
      </c>
      <c r="I66" s="1" t="str">
        <f t="shared" ref="I66:I129" si="3">IF(B66="MacBook","Laptop",
   IF(B66="iPhone","Phone",
   IF(B66="iPad","Tablet","Other")))</f>
        <v>Phone</v>
      </c>
    </row>
    <row r="67" spans="1:9" ht="13.2" x14ac:dyDescent="0.25">
      <c r="A67" s="1">
        <v>66</v>
      </c>
      <c r="B67" s="1" t="s">
        <v>11</v>
      </c>
      <c r="C67" s="1" t="s">
        <v>19</v>
      </c>
      <c r="D67" s="1" t="s">
        <v>14</v>
      </c>
      <c r="E67" s="1">
        <v>16</v>
      </c>
      <c r="F67" s="3">
        <v>115636</v>
      </c>
      <c r="G67" s="3">
        <v>1850176</v>
      </c>
      <c r="H67" s="1" t="str">
        <f t="shared" si="2"/>
        <v>High</v>
      </c>
      <c r="I67" s="1" t="str">
        <f t="shared" si="3"/>
        <v>Phone</v>
      </c>
    </row>
    <row r="68" spans="1:9" ht="13.2" x14ac:dyDescent="0.25">
      <c r="A68" s="1">
        <v>67</v>
      </c>
      <c r="B68" s="1" t="s">
        <v>5</v>
      </c>
      <c r="C68" s="1" t="s">
        <v>10</v>
      </c>
      <c r="D68" s="1" t="s">
        <v>7</v>
      </c>
      <c r="E68" s="1">
        <v>10</v>
      </c>
      <c r="F68" s="3">
        <v>187379</v>
      </c>
      <c r="G68" s="3">
        <v>1873790</v>
      </c>
      <c r="H68" s="1" t="str">
        <f t="shared" si="2"/>
        <v>High</v>
      </c>
      <c r="I68" s="1" t="str">
        <f t="shared" si="3"/>
        <v>Laptop</v>
      </c>
    </row>
    <row r="69" spans="1:9" ht="13.2" x14ac:dyDescent="0.25">
      <c r="A69" s="1">
        <v>68</v>
      </c>
      <c r="B69" s="1" t="s">
        <v>5</v>
      </c>
      <c r="C69" s="1" t="s">
        <v>10</v>
      </c>
      <c r="D69" s="1" t="s">
        <v>14</v>
      </c>
      <c r="E69" s="1">
        <v>19</v>
      </c>
      <c r="F69" s="3">
        <v>131975</v>
      </c>
      <c r="G69" s="3">
        <v>2507525</v>
      </c>
      <c r="H69" s="1" t="str">
        <f t="shared" si="2"/>
        <v>High</v>
      </c>
      <c r="I69" s="1" t="str">
        <f t="shared" si="3"/>
        <v>Laptop</v>
      </c>
    </row>
    <row r="70" spans="1:9" ht="13.2" x14ac:dyDescent="0.25">
      <c r="A70" s="1">
        <v>69</v>
      </c>
      <c r="B70" s="1" t="s">
        <v>11</v>
      </c>
      <c r="C70" s="1" t="s">
        <v>15</v>
      </c>
      <c r="D70" s="1" t="s">
        <v>13</v>
      </c>
      <c r="E70" s="1">
        <v>2</v>
      </c>
      <c r="F70" s="3">
        <v>89168</v>
      </c>
      <c r="G70" s="3">
        <v>178336</v>
      </c>
      <c r="H70" s="1" t="str">
        <f t="shared" si="2"/>
        <v>Low</v>
      </c>
      <c r="I70" s="1" t="str">
        <f t="shared" si="3"/>
        <v>Phone</v>
      </c>
    </row>
    <row r="71" spans="1:9" ht="13.2" x14ac:dyDescent="0.25">
      <c r="A71" s="1">
        <v>70</v>
      </c>
      <c r="B71" s="1" t="s">
        <v>16</v>
      </c>
      <c r="C71" s="1" t="s">
        <v>17</v>
      </c>
      <c r="D71" s="1" t="s">
        <v>13</v>
      </c>
      <c r="E71" s="1">
        <v>1</v>
      </c>
      <c r="F71" s="3">
        <v>45052</v>
      </c>
      <c r="G71" s="3">
        <v>45052</v>
      </c>
      <c r="H71" s="1" t="str">
        <f t="shared" si="2"/>
        <v>Low</v>
      </c>
      <c r="I71" s="1" t="str">
        <f t="shared" si="3"/>
        <v>Tablet</v>
      </c>
    </row>
    <row r="72" spans="1:9" ht="13.2" x14ac:dyDescent="0.25">
      <c r="A72" s="1">
        <v>71</v>
      </c>
      <c r="B72" s="1" t="s">
        <v>11</v>
      </c>
      <c r="C72" s="1" t="s">
        <v>15</v>
      </c>
      <c r="D72" s="1" t="s">
        <v>13</v>
      </c>
      <c r="E72" s="1">
        <v>1</v>
      </c>
      <c r="F72" s="3">
        <v>98304</v>
      </c>
      <c r="G72" s="3">
        <v>98304</v>
      </c>
      <c r="H72" s="1" t="str">
        <f t="shared" si="2"/>
        <v>Low</v>
      </c>
      <c r="I72" s="1" t="str">
        <f t="shared" si="3"/>
        <v>Phone</v>
      </c>
    </row>
    <row r="73" spans="1:9" ht="13.2" x14ac:dyDescent="0.25">
      <c r="A73" s="1">
        <v>72</v>
      </c>
      <c r="B73" s="1" t="s">
        <v>11</v>
      </c>
      <c r="C73" s="1" t="s">
        <v>12</v>
      </c>
      <c r="D73" s="1" t="s">
        <v>14</v>
      </c>
      <c r="E73" s="1">
        <v>12</v>
      </c>
      <c r="F73" s="3">
        <v>98494</v>
      </c>
      <c r="G73" s="3">
        <v>1181928</v>
      </c>
      <c r="H73" s="1" t="str">
        <f t="shared" si="2"/>
        <v>High</v>
      </c>
      <c r="I73" s="1" t="str">
        <f t="shared" si="3"/>
        <v>Phone</v>
      </c>
    </row>
    <row r="74" spans="1:9" ht="13.2" x14ac:dyDescent="0.25">
      <c r="A74" s="1">
        <v>73</v>
      </c>
      <c r="B74" s="1" t="s">
        <v>5</v>
      </c>
      <c r="C74" s="1" t="s">
        <v>10</v>
      </c>
      <c r="D74" s="1" t="s">
        <v>14</v>
      </c>
      <c r="E74" s="1">
        <v>3</v>
      </c>
      <c r="F74" s="3">
        <v>184297</v>
      </c>
      <c r="G74" s="3">
        <v>552891</v>
      </c>
      <c r="H74" s="1" t="str">
        <f t="shared" si="2"/>
        <v>Low</v>
      </c>
      <c r="I74" s="1" t="str">
        <f t="shared" si="3"/>
        <v>Laptop</v>
      </c>
    </row>
    <row r="75" spans="1:9" ht="13.2" x14ac:dyDescent="0.25">
      <c r="A75" s="1">
        <v>74</v>
      </c>
      <c r="B75" s="1" t="s">
        <v>16</v>
      </c>
      <c r="C75" s="1" t="s">
        <v>20</v>
      </c>
      <c r="D75" s="1" t="s">
        <v>9</v>
      </c>
      <c r="E75" s="1">
        <v>2</v>
      </c>
      <c r="F75" s="3">
        <v>81576</v>
      </c>
      <c r="G75" s="3">
        <v>163152</v>
      </c>
      <c r="H75" s="1" t="str">
        <f t="shared" si="2"/>
        <v>Low</v>
      </c>
      <c r="I75" s="1" t="str">
        <f t="shared" si="3"/>
        <v>Tablet</v>
      </c>
    </row>
    <row r="76" spans="1:9" ht="13.2" x14ac:dyDescent="0.25">
      <c r="A76" s="1">
        <v>75</v>
      </c>
      <c r="B76" s="1" t="s">
        <v>16</v>
      </c>
      <c r="C76" s="1" t="s">
        <v>18</v>
      </c>
      <c r="D76" s="1" t="s">
        <v>9</v>
      </c>
      <c r="E76" s="1">
        <v>18</v>
      </c>
      <c r="F76" s="3">
        <v>51338</v>
      </c>
      <c r="G76" s="3">
        <v>924084</v>
      </c>
      <c r="H76" s="1" t="str">
        <f t="shared" si="2"/>
        <v>Low</v>
      </c>
      <c r="I76" s="1" t="str">
        <f t="shared" si="3"/>
        <v>Tablet</v>
      </c>
    </row>
    <row r="77" spans="1:9" ht="13.2" x14ac:dyDescent="0.25">
      <c r="A77" s="1">
        <v>76</v>
      </c>
      <c r="B77" s="1" t="s">
        <v>11</v>
      </c>
      <c r="C77" s="1" t="s">
        <v>12</v>
      </c>
      <c r="D77" s="1" t="s">
        <v>13</v>
      </c>
      <c r="E77" s="1">
        <v>4</v>
      </c>
      <c r="F77" s="3">
        <v>104425</v>
      </c>
      <c r="G77" s="3">
        <v>417700</v>
      </c>
      <c r="H77" s="1" t="str">
        <f t="shared" si="2"/>
        <v>Low</v>
      </c>
      <c r="I77" s="1" t="str">
        <f t="shared" si="3"/>
        <v>Phone</v>
      </c>
    </row>
    <row r="78" spans="1:9" ht="13.2" x14ac:dyDescent="0.25">
      <c r="A78" s="1">
        <v>77</v>
      </c>
      <c r="B78" s="1" t="s">
        <v>11</v>
      </c>
      <c r="C78" s="1" t="s">
        <v>15</v>
      </c>
      <c r="D78" s="1" t="s">
        <v>14</v>
      </c>
      <c r="E78" s="1">
        <v>16</v>
      </c>
      <c r="F78" s="3">
        <v>77955</v>
      </c>
      <c r="G78" s="3">
        <v>1247280</v>
      </c>
      <c r="H78" s="1" t="str">
        <f t="shared" si="2"/>
        <v>High</v>
      </c>
      <c r="I78" s="1" t="str">
        <f t="shared" si="3"/>
        <v>Phone</v>
      </c>
    </row>
    <row r="79" spans="1:9" ht="13.2" x14ac:dyDescent="0.25">
      <c r="A79" s="1">
        <v>78</v>
      </c>
      <c r="B79" s="1" t="s">
        <v>11</v>
      </c>
      <c r="C79" s="1" t="s">
        <v>15</v>
      </c>
      <c r="D79" s="1" t="s">
        <v>21</v>
      </c>
      <c r="E79" s="1">
        <v>13</v>
      </c>
      <c r="F79" s="3">
        <v>103286</v>
      </c>
      <c r="G79" s="3">
        <v>1342718</v>
      </c>
      <c r="H79" s="1" t="str">
        <f t="shared" si="2"/>
        <v>High</v>
      </c>
      <c r="I79" s="1" t="str">
        <f t="shared" si="3"/>
        <v>Phone</v>
      </c>
    </row>
    <row r="80" spans="1:9" ht="13.2" x14ac:dyDescent="0.25">
      <c r="A80" s="1">
        <v>79</v>
      </c>
      <c r="B80" s="1" t="s">
        <v>16</v>
      </c>
      <c r="C80" s="1" t="s">
        <v>18</v>
      </c>
      <c r="D80" s="1" t="s">
        <v>14</v>
      </c>
      <c r="E80" s="1">
        <v>17</v>
      </c>
      <c r="F80" s="3">
        <v>81555</v>
      </c>
      <c r="G80" s="3">
        <v>1386435</v>
      </c>
      <c r="H80" s="1" t="str">
        <f t="shared" si="2"/>
        <v>High</v>
      </c>
      <c r="I80" s="1" t="str">
        <f t="shared" si="3"/>
        <v>Tablet</v>
      </c>
    </row>
    <row r="81" spans="1:9" ht="13.2" x14ac:dyDescent="0.25">
      <c r="A81" s="1">
        <v>80</v>
      </c>
      <c r="B81" s="1" t="s">
        <v>5</v>
      </c>
      <c r="C81" s="1" t="s">
        <v>8</v>
      </c>
      <c r="D81" s="1" t="s">
        <v>9</v>
      </c>
      <c r="E81" s="1">
        <v>17</v>
      </c>
      <c r="F81" s="3">
        <v>245538</v>
      </c>
      <c r="G81" s="3">
        <v>4174146</v>
      </c>
      <c r="H81" s="1" t="str">
        <f t="shared" si="2"/>
        <v>High</v>
      </c>
      <c r="I81" s="1" t="str">
        <f t="shared" si="3"/>
        <v>Laptop</v>
      </c>
    </row>
    <row r="82" spans="1:9" ht="13.2" x14ac:dyDescent="0.25">
      <c r="A82" s="1">
        <v>81</v>
      </c>
      <c r="B82" s="1" t="s">
        <v>11</v>
      </c>
      <c r="C82" s="1" t="s">
        <v>15</v>
      </c>
      <c r="D82" s="1" t="s">
        <v>7</v>
      </c>
      <c r="E82" s="1">
        <v>14</v>
      </c>
      <c r="F82" s="3">
        <v>111934</v>
      </c>
      <c r="G82" s="3">
        <v>1567076</v>
      </c>
      <c r="H82" s="1" t="str">
        <f t="shared" si="2"/>
        <v>High</v>
      </c>
      <c r="I82" s="1" t="str">
        <f t="shared" si="3"/>
        <v>Phone</v>
      </c>
    </row>
    <row r="83" spans="1:9" ht="13.2" x14ac:dyDescent="0.25">
      <c r="A83" s="1">
        <v>82</v>
      </c>
      <c r="B83" s="1" t="s">
        <v>5</v>
      </c>
      <c r="C83" s="1" t="s">
        <v>6</v>
      </c>
      <c r="D83" s="1" t="s">
        <v>14</v>
      </c>
      <c r="E83" s="1">
        <v>5</v>
      </c>
      <c r="F83" s="3">
        <v>232202</v>
      </c>
      <c r="G83" s="3">
        <v>1161010</v>
      </c>
      <c r="H83" s="1" t="str">
        <f t="shared" si="2"/>
        <v>High</v>
      </c>
      <c r="I83" s="1" t="str">
        <f t="shared" si="3"/>
        <v>Laptop</v>
      </c>
    </row>
    <row r="84" spans="1:9" ht="13.2" x14ac:dyDescent="0.25">
      <c r="A84" s="1">
        <v>83</v>
      </c>
      <c r="B84" s="1" t="s">
        <v>11</v>
      </c>
      <c r="C84" s="1" t="s">
        <v>15</v>
      </c>
      <c r="D84" s="1" t="s">
        <v>14</v>
      </c>
      <c r="E84" s="1">
        <v>16</v>
      </c>
      <c r="F84" s="3">
        <v>87192</v>
      </c>
      <c r="G84" s="3">
        <v>1395072</v>
      </c>
      <c r="H84" s="1" t="str">
        <f t="shared" si="2"/>
        <v>High</v>
      </c>
      <c r="I84" s="1" t="str">
        <f t="shared" si="3"/>
        <v>Phone</v>
      </c>
    </row>
    <row r="85" spans="1:9" ht="13.2" x14ac:dyDescent="0.25">
      <c r="A85" s="1">
        <v>84</v>
      </c>
      <c r="B85" s="1" t="s">
        <v>16</v>
      </c>
      <c r="C85" s="1" t="s">
        <v>20</v>
      </c>
      <c r="D85" s="1" t="s">
        <v>13</v>
      </c>
      <c r="E85" s="1">
        <v>7</v>
      </c>
      <c r="F85" s="3">
        <v>77497</v>
      </c>
      <c r="G85" s="3">
        <v>542479</v>
      </c>
      <c r="H85" s="1" t="str">
        <f t="shared" si="2"/>
        <v>Low</v>
      </c>
      <c r="I85" s="1" t="str">
        <f t="shared" si="3"/>
        <v>Tablet</v>
      </c>
    </row>
    <row r="86" spans="1:9" ht="13.2" x14ac:dyDescent="0.25">
      <c r="A86" s="1">
        <v>85</v>
      </c>
      <c r="B86" s="1" t="s">
        <v>5</v>
      </c>
      <c r="C86" s="1" t="s">
        <v>6</v>
      </c>
      <c r="D86" s="1" t="s">
        <v>9</v>
      </c>
      <c r="E86" s="1">
        <v>11</v>
      </c>
      <c r="F86" s="3">
        <v>193150</v>
      </c>
      <c r="G86" s="3">
        <v>2124650</v>
      </c>
      <c r="H86" s="1" t="str">
        <f t="shared" si="2"/>
        <v>High</v>
      </c>
      <c r="I86" s="1" t="str">
        <f t="shared" si="3"/>
        <v>Laptop</v>
      </c>
    </row>
    <row r="87" spans="1:9" ht="13.2" x14ac:dyDescent="0.25">
      <c r="A87" s="1">
        <v>86</v>
      </c>
      <c r="B87" s="1" t="s">
        <v>11</v>
      </c>
      <c r="C87" s="1" t="s">
        <v>19</v>
      </c>
      <c r="D87" s="1" t="s">
        <v>14</v>
      </c>
      <c r="E87" s="1">
        <v>12</v>
      </c>
      <c r="F87" s="3">
        <v>67056</v>
      </c>
      <c r="G87" s="3">
        <v>804672</v>
      </c>
      <c r="H87" s="1" t="str">
        <f t="shared" si="2"/>
        <v>Low</v>
      </c>
      <c r="I87" s="1" t="str">
        <f t="shared" si="3"/>
        <v>Phone</v>
      </c>
    </row>
    <row r="88" spans="1:9" ht="13.2" x14ac:dyDescent="0.25">
      <c r="A88" s="1">
        <v>87</v>
      </c>
      <c r="B88" s="1" t="s">
        <v>16</v>
      </c>
      <c r="C88" s="1" t="s">
        <v>18</v>
      </c>
      <c r="D88" s="1" t="s">
        <v>14</v>
      </c>
      <c r="E88" s="1">
        <v>18</v>
      </c>
      <c r="F88" s="3">
        <v>59065</v>
      </c>
      <c r="G88" s="3">
        <v>1063170</v>
      </c>
      <c r="H88" s="1" t="str">
        <f t="shared" si="2"/>
        <v>High</v>
      </c>
      <c r="I88" s="1" t="str">
        <f t="shared" si="3"/>
        <v>Tablet</v>
      </c>
    </row>
    <row r="89" spans="1:9" ht="13.2" x14ac:dyDescent="0.25">
      <c r="A89" s="1">
        <v>88</v>
      </c>
      <c r="B89" s="1" t="s">
        <v>16</v>
      </c>
      <c r="C89" s="1" t="s">
        <v>17</v>
      </c>
      <c r="D89" s="1" t="s">
        <v>9</v>
      </c>
      <c r="E89" s="1">
        <v>8</v>
      </c>
      <c r="F89" s="3">
        <v>82348</v>
      </c>
      <c r="G89" s="3">
        <v>658784</v>
      </c>
      <c r="H89" s="1" t="str">
        <f t="shared" si="2"/>
        <v>Low</v>
      </c>
      <c r="I89" s="1" t="str">
        <f t="shared" si="3"/>
        <v>Tablet</v>
      </c>
    </row>
    <row r="90" spans="1:9" ht="13.2" x14ac:dyDescent="0.25">
      <c r="A90" s="1">
        <v>89</v>
      </c>
      <c r="B90" s="1" t="s">
        <v>11</v>
      </c>
      <c r="C90" s="1" t="s">
        <v>15</v>
      </c>
      <c r="D90" s="1" t="s">
        <v>9</v>
      </c>
      <c r="E90" s="1">
        <v>7</v>
      </c>
      <c r="F90" s="3">
        <v>97080</v>
      </c>
      <c r="G90" s="3">
        <v>679560</v>
      </c>
      <c r="H90" s="1" t="str">
        <f t="shared" si="2"/>
        <v>Low</v>
      </c>
      <c r="I90" s="1" t="str">
        <f t="shared" si="3"/>
        <v>Phone</v>
      </c>
    </row>
    <row r="91" spans="1:9" ht="13.2" x14ac:dyDescent="0.25">
      <c r="A91" s="1">
        <v>90</v>
      </c>
      <c r="B91" s="1" t="s">
        <v>16</v>
      </c>
      <c r="C91" s="1" t="s">
        <v>17</v>
      </c>
      <c r="D91" s="1" t="s">
        <v>13</v>
      </c>
      <c r="E91" s="1">
        <v>19</v>
      </c>
      <c r="F91" s="3">
        <v>92075</v>
      </c>
      <c r="G91" s="3">
        <v>1749425</v>
      </c>
      <c r="H91" s="1" t="str">
        <f t="shared" si="2"/>
        <v>High</v>
      </c>
      <c r="I91" s="1" t="str">
        <f t="shared" si="3"/>
        <v>Tablet</v>
      </c>
    </row>
    <row r="92" spans="1:9" ht="13.2" x14ac:dyDescent="0.25">
      <c r="A92" s="1">
        <v>91</v>
      </c>
      <c r="B92" s="1" t="s">
        <v>16</v>
      </c>
      <c r="C92" s="1" t="s">
        <v>20</v>
      </c>
      <c r="D92" s="1" t="s">
        <v>14</v>
      </c>
      <c r="E92" s="1">
        <v>19</v>
      </c>
      <c r="F92" s="3">
        <v>55485</v>
      </c>
      <c r="G92" s="3">
        <v>1054215</v>
      </c>
      <c r="H92" s="1" t="str">
        <f t="shared" si="2"/>
        <v>High</v>
      </c>
      <c r="I92" s="1" t="str">
        <f t="shared" si="3"/>
        <v>Tablet</v>
      </c>
    </row>
    <row r="93" spans="1:9" ht="13.2" x14ac:dyDescent="0.25">
      <c r="A93" s="1">
        <v>92</v>
      </c>
      <c r="B93" s="1" t="s">
        <v>11</v>
      </c>
      <c r="C93" s="1" t="s">
        <v>19</v>
      </c>
      <c r="D93" s="1" t="s">
        <v>21</v>
      </c>
      <c r="E93" s="1">
        <v>8</v>
      </c>
      <c r="F93" s="3">
        <v>73116</v>
      </c>
      <c r="G93" s="3">
        <v>584928</v>
      </c>
      <c r="H93" s="1" t="str">
        <f t="shared" si="2"/>
        <v>Low</v>
      </c>
      <c r="I93" s="1" t="str">
        <f t="shared" si="3"/>
        <v>Phone</v>
      </c>
    </row>
    <row r="94" spans="1:9" ht="13.2" x14ac:dyDescent="0.25">
      <c r="A94" s="1">
        <v>93</v>
      </c>
      <c r="B94" s="1" t="s">
        <v>5</v>
      </c>
      <c r="C94" s="1" t="s">
        <v>6</v>
      </c>
      <c r="D94" s="1" t="s">
        <v>14</v>
      </c>
      <c r="E94" s="1">
        <v>17</v>
      </c>
      <c r="F94" s="3">
        <v>193333</v>
      </c>
      <c r="G94" s="3">
        <v>3286661</v>
      </c>
      <c r="H94" s="1" t="str">
        <f t="shared" si="2"/>
        <v>High</v>
      </c>
      <c r="I94" s="1" t="str">
        <f t="shared" si="3"/>
        <v>Laptop</v>
      </c>
    </row>
    <row r="95" spans="1:9" ht="13.2" x14ac:dyDescent="0.25">
      <c r="A95" s="1">
        <v>94</v>
      </c>
      <c r="B95" s="1" t="s">
        <v>16</v>
      </c>
      <c r="C95" s="1" t="s">
        <v>20</v>
      </c>
      <c r="D95" s="1" t="s">
        <v>14</v>
      </c>
      <c r="E95" s="1">
        <v>12</v>
      </c>
      <c r="F95" s="3">
        <v>62700</v>
      </c>
      <c r="G95" s="3">
        <v>752400</v>
      </c>
      <c r="H95" s="1" t="str">
        <f t="shared" si="2"/>
        <v>Low</v>
      </c>
      <c r="I95" s="1" t="str">
        <f t="shared" si="3"/>
        <v>Tablet</v>
      </c>
    </row>
    <row r="96" spans="1:9" ht="13.2" x14ac:dyDescent="0.25">
      <c r="A96" s="1">
        <v>95</v>
      </c>
      <c r="B96" s="1" t="s">
        <v>16</v>
      </c>
      <c r="C96" s="1" t="s">
        <v>18</v>
      </c>
      <c r="D96" s="1" t="s">
        <v>13</v>
      </c>
      <c r="E96" s="1">
        <v>11</v>
      </c>
      <c r="F96" s="3">
        <v>61732</v>
      </c>
      <c r="G96" s="3">
        <v>679052</v>
      </c>
      <c r="H96" s="1" t="str">
        <f t="shared" si="2"/>
        <v>Low</v>
      </c>
      <c r="I96" s="1" t="str">
        <f t="shared" si="3"/>
        <v>Tablet</v>
      </c>
    </row>
    <row r="97" spans="1:9" ht="13.2" x14ac:dyDescent="0.25">
      <c r="A97" s="1">
        <v>96</v>
      </c>
      <c r="B97" s="1" t="s">
        <v>11</v>
      </c>
      <c r="C97" s="1" t="s">
        <v>19</v>
      </c>
      <c r="D97" s="1" t="s">
        <v>21</v>
      </c>
      <c r="E97" s="1">
        <v>15</v>
      </c>
      <c r="F97" s="3">
        <v>77640</v>
      </c>
      <c r="G97" s="3">
        <v>1164600</v>
      </c>
      <c r="H97" s="1" t="str">
        <f t="shared" si="2"/>
        <v>High</v>
      </c>
      <c r="I97" s="1" t="str">
        <f t="shared" si="3"/>
        <v>Phone</v>
      </c>
    </row>
    <row r="98" spans="1:9" ht="13.2" x14ac:dyDescent="0.25">
      <c r="A98" s="1">
        <v>97</v>
      </c>
      <c r="B98" s="1" t="s">
        <v>11</v>
      </c>
      <c r="C98" s="1" t="s">
        <v>19</v>
      </c>
      <c r="D98" s="1" t="s">
        <v>13</v>
      </c>
      <c r="E98" s="1">
        <v>3</v>
      </c>
      <c r="F98" s="3">
        <v>79087</v>
      </c>
      <c r="G98" s="3">
        <v>237261</v>
      </c>
      <c r="H98" s="1" t="str">
        <f t="shared" si="2"/>
        <v>Low</v>
      </c>
      <c r="I98" s="1" t="str">
        <f t="shared" si="3"/>
        <v>Phone</v>
      </c>
    </row>
    <row r="99" spans="1:9" ht="13.2" x14ac:dyDescent="0.25">
      <c r="A99" s="1">
        <v>98</v>
      </c>
      <c r="B99" s="1" t="s">
        <v>16</v>
      </c>
      <c r="C99" s="1" t="s">
        <v>20</v>
      </c>
      <c r="D99" s="1" t="s">
        <v>7</v>
      </c>
      <c r="E99" s="1">
        <v>12</v>
      </c>
      <c r="F99" s="3">
        <v>40667</v>
      </c>
      <c r="G99" s="3">
        <v>488004</v>
      </c>
      <c r="H99" s="1" t="str">
        <f t="shared" si="2"/>
        <v>Low</v>
      </c>
      <c r="I99" s="1" t="str">
        <f t="shared" si="3"/>
        <v>Tablet</v>
      </c>
    </row>
    <row r="100" spans="1:9" ht="13.2" x14ac:dyDescent="0.25">
      <c r="A100" s="1">
        <v>99</v>
      </c>
      <c r="B100" s="1" t="s">
        <v>16</v>
      </c>
      <c r="C100" s="1" t="s">
        <v>20</v>
      </c>
      <c r="D100" s="1" t="s">
        <v>9</v>
      </c>
      <c r="E100" s="1">
        <v>18</v>
      </c>
      <c r="F100" s="3">
        <v>67355</v>
      </c>
      <c r="G100" s="3">
        <v>1212390</v>
      </c>
      <c r="H100" s="1" t="str">
        <f t="shared" si="2"/>
        <v>High</v>
      </c>
      <c r="I100" s="1" t="str">
        <f t="shared" si="3"/>
        <v>Tablet</v>
      </c>
    </row>
    <row r="101" spans="1:9" ht="13.2" x14ac:dyDescent="0.25">
      <c r="A101" s="1">
        <v>100</v>
      </c>
      <c r="B101" s="1" t="s">
        <v>5</v>
      </c>
      <c r="C101" s="1" t="s">
        <v>10</v>
      </c>
      <c r="D101" s="1" t="s">
        <v>9</v>
      </c>
      <c r="E101" s="1">
        <v>17</v>
      </c>
      <c r="F101" s="3">
        <v>145284</v>
      </c>
      <c r="G101" s="3">
        <v>2469828</v>
      </c>
      <c r="H101" s="1" t="str">
        <f t="shared" si="2"/>
        <v>High</v>
      </c>
      <c r="I101" s="1" t="str">
        <f t="shared" si="3"/>
        <v>Laptop</v>
      </c>
    </row>
    <row r="102" spans="1:9" ht="13.2" x14ac:dyDescent="0.25">
      <c r="A102" s="1">
        <v>101</v>
      </c>
      <c r="B102" s="1" t="s">
        <v>11</v>
      </c>
      <c r="C102" s="1" t="s">
        <v>12</v>
      </c>
      <c r="D102" s="1" t="s">
        <v>7</v>
      </c>
      <c r="E102" s="1">
        <v>13</v>
      </c>
      <c r="F102" s="3">
        <v>94349</v>
      </c>
      <c r="G102" s="3">
        <v>1226537</v>
      </c>
      <c r="H102" s="1" t="str">
        <f t="shared" si="2"/>
        <v>High</v>
      </c>
      <c r="I102" s="1" t="str">
        <f t="shared" si="3"/>
        <v>Phone</v>
      </c>
    </row>
    <row r="103" spans="1:9" ht="13.2" x14ac:dyDescent="0.25">
      <c r="A103" s="1">
        <v>102</v>
      </c>
      <c r="B103" s="1" t="s">
        <v>5</v>
      </c>
      <c r="C103" s="1" t="s">
        <v>6</v>
      </c>
      <c r="D103" s="1" t="s">
        <v>7</v>
      </c>
      <c r="E103" s="1">
        <v>15</v>
      </c>
      <c r="F103" s="3">
        <v>148141</v>
      </c>
      <c r="G103" s="3">
        <v>2222115</v>
      </c>
      <c r="H103" s="1" t="str">
        <f t="shared" si="2"/>
        <v>High</v>
      </c>
      <c r="I103" s="1" t="str">
        <f t="shared" si="3"/>
        <v>Laptop</v>
      </c>
    </row>
    <row r="104" spans="1:9" ht="13.2" x14ac:dyDescent="0.25">
      <c r="A104" s="1">
        <v>103</v>
      </c>
      <c r="B104" s="1" t="s">
        <v>5</v>
      </c>
      <c r="C104" s="1" t="s">
        <v>6</v>
      </c>
      <c r="D104" s="1" t="s">
        <v>21</v>
      </c>
      <c r="E104" s="1">
        <v>5</v>
      </c>
      <c r="F104" s="3">
        <v>151813</v>
      </c>
      <c r="G104" s="3">
        <v>759065</v>
      </c>
      <c r="H104" s="1" t="str">
        <f t="shared" si="2"/>
        <v>Low</v>
      </c>
      <c r="I104" s="1" t="str">
        <f t="shared" si="3"/>
        <v>Laptop</v>
      </c>
    </row>
    <row r="105" spans="1:9" ht="13.2" x14ac:dyDescent="0.25">
      <c r="A105" s="1">
        <v>104</v>
      </c>
      <c r="B105" s="1" t="s">
        <v>16</v>
      </c>
      <c r="C105" s="1" t="s">
        <v>17</v>
      </c>
      <c r="D105" s="1" t="s">
        <v>13</v>
      </c>
      <c r="E105" s="1">
        <v>17</v>
      </c>
      <c r="F105" s="3">
        <v>44158</v>
      </c>
      <c r="G105" s="3">
        <v>750686</v>
      </c>
      <c r="H105" s="1" t="str">
        <f t="shared" si="2"/>
        <v>Low</v>
      </c>
      <c r="I105" s="1" t="str">
        <f t="shared" si="3"/>
        <v>Tablet</v>
      </c>
    </row>
    <row r="106" spans="1:9" ht="13.2" x14ac:dyDescent="0.25">
      <c r="A106" s="1">
        <v>105</v>
      </c>
      <c r="B106" s="1" t="s">
        <v>5</v>
      </c>
      <c r="C106" s="1" t="s">
        <v>6</v>
      </c>
      <c r="D106" s="1" t="s">
        <v>13</v>
      </c>
      <c r="E106" s="1">
        <v>13</v>
      </c>
      <c r="F106" s="3">
        <v>165880</v>
      </c>
      <c r="G106" s="3">
        <v>2156440</v>
      </c>
      <c r="H106" s="1" t="str">
        <f t="shared" si="2"/>
        <v>High</v>
      </c>
      <c r="I106" s="1" t="str">
        <f t="shared" si="3"/>
        <v>Laptop</v>
      </c>
    </row>
    <row r="107" spans="1:9" ht="13.2" x14ac:dyDescent="0.25">
      <c r="A107" s="1">
        <v>106</v>
      </c>
      <c r="B107" s="1" t="s">
        <v>5</v>
      </c>
      <c r="C107" s="1" t="s">
        <v>6</v>
      </c>
      <c r="D107" s="1" t="s">
        <v>21</v>
      </c>
      <c r="E107" s="1">
        <v>16</v>
      </c>
      <c r="F107" s="3">
        <v>102763</v>
      </c>
      <c r="G107" s="3">
        <v>1644208</v>
      </c>
      <c r="H107" s="1" t="str">
        <f t="shared" si="2"/>
        <v>High</v>
      </c>
      <c r="I107" s="1" t="str">
        <f t="shared" si="3"/>
        <v>Laptop</v>
      </c>
    </row>
    <row r="108" spans="1:9" ht="13.2" x14ac:dyDescent="0.25">
      <c r="A108" s="1">
        <v>107</v>
      </c>
      <c r="B108" s="1" t="s">
        <v>11</v>
      </c>
      <c r="C108" s="1" t="s">
        <v>15</v>
      </c>
      <c r="D108" s="1" t="s">
        <v>14</v>
      </c>
      <c r="E108" s="1">
        <v>5</v>
      </c>
      <c r="F108" s="3">
        <v>98757</v>
      </c>
      <c r="G108" s="3">
        <v>493785</v>
      </c>
      <c r="H108" s="1" t="str">
        <f t="shared" si="2"/>
        <v>Low</v>
      </c>
      <c r="I108" s="1" t="str">
        <f t="shared" si="3"/>
        <v>Phone</v>
      </c>
    </row>
    <row r="109" spans="1:9" ht="13.2" x14ac:dyDescent="0.25">
      <c r="A109" s="1">
        <v>108</v>
      </c>
      <c r="B109" s="1" t="s">
        <v>11</v>
      </c>
      <c r="C109" s="1" t="s">
        <v>12</v>
      </c>
      <c r="D109" s="1" t="s">
        <v>14</v>
      </c>
      <c r="E109" s="1">
        <v>10</v>
      </c>
      <c r="F109" s="3">
        <v>92201</v>
      </c>
      <c r="G109" s="3">
        <v>922010</v>
      </c>
      <c r="H109" s="1" t="str">
        <f t="shared" si="2"/>
        <v>Low</v>
      </c>
      <c r="I109" s="1" t="str">
        <f t="shared" si="3"/>
        <v>Phone</v>
      </c>
    </row>
    <row r="110" spans="1:9" ht="13.2" x14ac:dyDescent="0.25">
      <c r="A110" s="1">
        <v>109</v>
      </c>
      <c r="B110" s="1" t="s">
        <v>16</v>
      </c>
      <c r="C110" s="1" t="s">
        <v>18</v>
      </c>
      <c r="D110" s="1" t="s">
        <v>14</v>
      </c>
      <c r="E110" s="1">
        <v>14</v>
      </c>
      <c r="F110" s="3">
        <v>85106</v>
      </c>
      <c r="G110" s="3">
        <v>1191484</v>
      </c>
      <c r="H110" s="1" t="str">
        <f t="shared" si="2"/>
        <v>High</v>
      </c>
      <c r="I110" s="1" t="str">
        <f t="shared" si="3"/>
        <v>Tablet</v>
      </c>
    </row>
    <row r="111" spans="1:9" ht="13.2" x14ac:dyDescent="0.25">
      <c r="A111" s="1">
        <v>110</v>
      </c>
      <c r="B111" s="1" t="s">
        <v>16</v>
      </c>
      <c r="C111" s="1" t="s">
        <v>18</v>
      </c>
      <c r="D111" s="1" t="s">
        <v>9</v>
      </c>
      <c r="E111" s="1">
        <v>17</v>
      </c>
      <c r="F111" s="3">
        <v>82783</v>
      </c>
      <c r="G111" s="3">
        <v>1407311</v>
      </c>
      <c r="H111" s="1" t="str">
        <f t="shared" si="2"/>
        <v>High</v>
      </c>
      <c r="I111" s="1" t="str">
        <f t="shared" si="3"/>
        <v>Tablet</v>
      </c>
    </row>
    <row r="112" spans="1:9" ht="13.2" x14ac:dyDescent="0.25">
      <c r="A112" s="1">
        <v>111</v>
      </c>
      <c r="B112" s="1" t="s">
        <v>5</v>
      </c>
      <c r="C112" s="1" t="s">
        <v>8</v>
      </c>
      <c r="D112" s="1" t="s">
        <v>7</v>
      </c>
      <c r="E112" s="1">
        <v>2</v>
      </c>
      <c r="F112" s="3">
        <v>184074</v>
      </c>
      <c r="G112" s="3">
        <v>368148</v>
      </c>
      <c r="H112" s="1" t="str">
        <f t="shared" si="2"/>
        <v>Low</v>
      </c>
      <c r="I112" s="1" t="str">
        <f t="shared" si="3"/>
        <v>Laptop</v>
      </c>
    </row>
    <row r="113" spans="1:9" ht="13.2" x14ac:dyDescent="0.25">
      <c r="A113" s="1">
        <v>112</v>
      </c>
      <c r="B113" s="1" t="s">
        <v>11</v>
      </c>
      <c r="C113" s="1" t="s">
        <v>19</v>
      </c>
      <c r="D113" s="1" t="s">
        <v>21</v>
      </c>
      <c r="E113" s="1">
        <v>12</v>
      </c>
      <c r="F113" s="3">
        <v>101348</v>
      </c>
      <c r="G113" s="3">
        <v>1216176</v>
      </c>
      <c r="H113" s="1" t="str">
        <f t="shared" si="2"/>
        <v>High</v>
      </c>
      <c r="I113" s="1" t="str">
        <f t="shared" si="3"/>
        <v>Phone</v>
      </c>
    </row>
    <row r="114" spans="1:9" ht="13.2" x14ac:dyDescent="0.25">
      <c r="A114" s="1">
        <v>113</v>
      </c>
      <c r="B114" s="1" t="s">
        <v>11</v>
      </c>
      <c r="C114" s="1" t="s">
        <v>15</v>
      </c>
      <c r="D114" s="1" t="s">
        <v>14</v>
      </c>
      <c r="E114" s="1">
        <v>15</v>
      </c>
      <c r="F114" s="3">
        <v>75254</v>
      </c>
      <c r="G114" s="3">
        <v>1128810</v>
      </c>
      <c r="H114" s="1" t="str">
        <f t="shared" si="2"/>
        <v>High</v>
      </c>
      <c r="I114" s="1" t="str">
        <f t="shared" si="3"/>
        <v>Phone</v>
      </c>
    </row>
    <row r="115" spans="1:9" ht="13.2" x14ac:dyDescent="0.25">
      <c r="A115" s="1">
        <v>114</v>
      </c>
      <c r="B115" s="1" t="s">
        <v>16</v>
      </c>
      <c r="C115" s="1" t="s">
        <v>20</v>
      </c>
      <c r="D115" s="1" t="s">
        <v>9</v>
      </c>
      <c r="E115" s="1">
        <v>11</v>
      </c>
      <c r="F115" s="3">
        <v>99494</v>
      </c>
      <c r="G115" s="3">
        <v>1094434</v>
      </c>
      <c r="H115" s="1" t="str">
        <f t="shared" si="2"/>
        <v>High</v>
      </c>
      <c r="I115" s="1" t="str">
        <f t="shared" si="3"/>
        <v>Tablet</v>
      </c>
    </row>
    <row r="116" spans="1:9" ht="13.2" x14ac:dyDescent="0.25">
      <c r="A116" s="1">
        <v>115</v>
      </c>
      <c r="B116" s="1" t="s">
        <v>16</v>
      </c>
      <c r="C116" s="1" t="s">
        <v>20</v>
      </c>
      <c r="D116" s="1" t="s">
        <v>13</v>
      </c>
      <c r="E116" s="1">
        <v>18</v>
      </c>
      <c r="F116" s="3">
        <v>48017</v>
      </c>
      <c r="G116" s="3">
        <v>864306</v>
      </c>
      <c r="H116" s="1" t="str">
        <f t="shared" si="2"/>
        <v>Low</v>
      </c>
      <c r="I116" s="1" t="str">
        <f t="shared" si="3"/>
        <v>Tablet</v>
      </c>
    </row>
    <row r="117" spans="1:9" ht="13.2" x14ac:dyDescent="0.25">
      <c r="A117" s="1">
        <v>116</v>
      </c>
      <c r="B117" s="1" t="s">
        <v>5</v>
      </c>
      <c r="C117" s="1" t="s">
        <v>8</v>
      </c>
      <c r="D117" s="1" t="s">
        <v>21</v>
      </c>
      <c r="E117" s="1">
        <v>2</v>
      </c>
      <c r="F117" s="3">
        <v>143413</v>
      </c>
      <c r="G117" s="3">
        <v>286826</v>
      </c>
      <c r="H117" s="1" t="str">
        <f t="shared" si="2"/>
        <v>Low</v>
      </c>
      <c r="I117" s="1" t="str">
        <f t="shared" si="3"/>
        <v>Laptop</v>
      </c>
    </row>
    <row r="118" spans="1:9" ht="13.2" x14ac:dyDescent="0.25">
      <c r="A118" s="1">
        <v>117</v>
      </c>
      <c r="B118" s="1" t="s">
        <v>5</v>
      </c>
      <c r="C118" s="1" t="s">
        <v>10</v>
      </c>
      <c r="D118" s="1" t="s">
        <v>9</v>
      </c>
      <c r="E118" s="1">
        <v>10</v>
      </c>
      <c r="F118" s="3">
        <v>193196</v>
      </c>
      <c r="G118" s="3">
        <v>1931960</v>
      </c>
      <c r="H118" s="1" t="str">
        <f t="shared" si="2"/>
        <v>High</v>
      </c>
      <c r="I118" s="1" t="str">
        <f t="shared" si="3"/>
        <v>Laptop</v>
      </c>
    </row>
    <row r="119" spans="1:9" ht="13.2" x14ac:dyDescent="0.25">
      <c r="A119" s="1">
        <v>118</v>
      </c>
      <c r="B119" s="1" t="s">
        <v>16</v>
      </c>
      <c r="C119" s="1" t="s">
        <v>18</v>
      </c>
      <c r="D119" s="1" t="s">
        <v>14</v>
      </c>
      <c r="E119" s="1">
        <v>10</v>
      </c>
      <c r="F119" s="3">
        <v>59963</v>
      </c>
      <c r="G119" s="3">
        <v>599630</v>
      </c>
      <c r="H119" s="1" t="str">
        <f t="shared" si="2"/>
        <v>Low</v>
      </c>
      <c r="I119" s="1" t="str">
        <f t="shared" si="3"/>
        <v>Tablet</v>
      </c>
    </row>
    <row r="120" spans="1:9" ht="13.2" x14ac:dyDescent="0.25">
      <c r="A120" s="1">
        <v>119</v>
      </c>
      <c r="B120" s="1" t="s">
        <v>16</v>
      </c>
      <c r="C120" s="1" t="s">
        <v>20</v>
      </c>
      <c r="D120" s="1" t="s">
        <v>13</v>
      </c>
      <c r="E120" s="1">
        <v>2</v>
      </c>
      <c r="F120" s="3">
        <v>79037</v>
      </c>
      <c r="G120" s="3">
        <v>158074</v>
      </c>
      <c r="H120" s="1" t="str">
        <f t="shared" si="2"/>
        <v>Low</v>
      </c>
      <c r="I120" s="1" t="str">
        <f t="shared" si="3"/>
        <v>Tablet</v>
      </c>
    </row>
    <row r="121" spans="1:9" ht="13.2" x14ac:dyDescent="0.25">
      <c r="A121" s="1">
        <v>120</v>
      </c>
      <c r="B121" s="1" t="s">
        <v>5</v>
      </c>
      <c r="C121" s="1" t="s">
        <v>8</v>
      </c>
      <c r="D121" s="1" t="s">
        <v>9</v>
      </c>
      <c r="E121" s="1">
        <v>16</v>
      </c>
      <c r="F121" s="3">
        <v>232709</v>
      </c>
      <c r="G121" s="3">
        <v>3723344</v>
      </c>
      <c r="H121" s="1" t="str">
        <f t="shared" si="2"/>
        <v>High</v>
      </c>
      <c r="I121" s="1" t="str">
        <f t="shared" si="3"/>
        <v>Laptop</v>
      </c>
    </row>
    <row r="122" spans="1:9" ht="13.2" x14ac:dyDescent="0.25">
      <c r="A122" s="1">
        <v>121</v>
      </c>
      <c r="B122" s="1" t="s">
        <v>11</v>
      </c>
      <c r="C122" s="1" t="s">
        <v>15</v>
      </c>
      <c r="D122" s="1" t="s">
        <v>7</v>
      </c>
      <c r="E122" s="1">
        <v>3</v>
      </c>
      <c r="F122" s="3">
        <v>93434</v>
      </c>
      <c r="G122" s="3">
        <v>280302</v>
      </c>
      <c r="H122" s="1" t="str">
        <f t="shared" si="2"/>
        <v>Low</v>
      </c>
      <c r="I122" s="1" t="str">
        <f t="shared" si="3"/>
        <v>Phone</v>
      </c>
    </row>
    <row r="123" spans="1:9" ht="13.2" x14ac:dyDescent="0.25">
      <c r="A123" s="1">
        <v>122</v>
      </c>
      <c r="B123" s="1" t="s">
        <v>11</v>
      </c>
      <c r="C123" s="1" t="s">
        <v>19</v>
      </c>
      <c r="D123" s="1" t="s">
        <v>7</v>
      </c>
      <c r="E123" s="1">
        <v>19</v>
      </c>
      <c r="F123" s="3">
        <v>83954</v>
      </c>
      <c r="G123" s="3">
        <v>1595126</v>
      </c>
      <c r="H123" s="1" t="str">
        <f t="shared" si="2"/>
        <v>High</v>
      </c>
      <c r="I123" s="1" t="str">
        <f t="shared" si="3"/>
        <v>Phone</v>
      </c>
    </row>
    <row r="124" spans="1:9" ht="13.2" x14ac:dyDescent="0.25">
      <c r="A124" s="1">
        <v>123</v>
      </c>
      <c r="B124" s="1" t="s">
        <v>11</v>
      </c>
      <c r="C124" s="1" t="s">
        <v>19</v>
      </c>
      <c r="D124" s="1" t="s">
        <v>7</v>
      </c>
      <c r="E124" s="1">
        <v>6</v>
      </c>
      <c r="F124" s="3">
        <v>99144</v>
      </c>
      <c r="G124" s="3">
        <v>594864</v>
      </c>
      <c r="H124" s="1" t="str">
        <f t="shared" si="2"/>
        <v>Low</v>
      </c>
      <c r="I124" s="1" t="str">
        <f t="shared" si="3"/>
        <v>Phone</v>
      </c>
    </row>
    <row r="125" spans="1:9" ht="13.2" x14ac:dyDescent="0.25">
      <c r="A125" s="1">
        <v>124</v>
      </c>
      <c r="B125" s="1" t="s">
        <v>11</v>
      </c>
      <c r="C125" s="1" t="s">
        <v>19</v>
      </c>
      <c r="D125" s="1" t="s">
        <v>21</v>
      </c>
      <c r="E125" s="1">
        <v>13</v>
      </c>
      <c r="F125" s="3">
        <v>76282</v>
      </c>
      <c r="G125" s="3">
        <v>991666</v>
      </c>
      <c r="H125" s="1" t="str">
        <f t="shared" si="2"/>
        <v>Low</v>
      </c>
      <c r="I125" s="1" t="str">
        <f t="shared" si="3"/>
        <v>Phone</v>
      </c>
    </row>
    <row r="126" spans="1:9" ht="13.2" x14ac:dyDescent="0.25">
      <c r="A126" s="1">
        <v>125</v>
      </c>
      <c r="B126" s="1" t="s">
        <v>5</v>
      </c>
      <c r="C126" s="1" t="s">
        <v>6</v>
      </c>
      <c r="D126" s="1" t="s">
        <v>14</v>
      </c>
      <c r="E126" s="1">
        <v>15</v>
      </c>
      <c r="F126" s="3">
        <v>240334</v>
      </c>
      <c r="G126" s="3">
        <v>3605010</v>
      </c>
      <c r="H126" s="1" t="str">
        <f t="shared" si="2"/>
        <v>High</v>
      </c>
      <c r="I126" s="1" t="str">
        <f t="shared" si="3"/>
        <v>Laptop</v>
      </c>
    </row>
    <row r="127" spans="1:9" ht="13.2" x14ac:dyDescent="0.25">
      <c r="A127" s="1">
        <v>126</v>
      </c>
      <c r="B127" s="1" t="s">
        <v>11</v>
      </c>
      <c r="C127" s="1" t="s">
        <v>19</v>
      </c>
      <c r="D127" s="1" t="s">
        <v>13</v>
      </c>
      <c r="E127" s="1">
        <v>4</v>
      </c>
      <c r="F127" s="3">
        <v>73568</v>
      </c>
      <c r="G127" s="3">
        <v>294272</v>
      </c>
      <c r="H127" s="1" t="str">
        <f t="shared" si="2"/>
        <v>Low</v>
      </c>
      <c r="I127" s="1" t="str">
        <f t="shared" si="3"/>
        <v>Phone</v>
      </c>
    </row>
    <row r="128" spans="1:9" ht="13.2" x14ac:dyDescent="0.25">
      <c r="A128" s="1">
        <v>127</v>
      </c>
      <c r="B128" s="1" t="s">
        <v>11</v>
      </c>
      <c r="C128" s="1" t="s">
        <v>15</v>
      </c>
      <c r="D128" s="1" t="s">
        <v>7</v>
      </c>
      <c r="E128" s="1">
        <v>15</v>
      </c>
      <c r="F128" s="3">
        <v>77022</v>
      </c>
      <c r="G128" s="3">
        <v>1155330</v>
      </c>
      <c r="H128" s="1" t="str">
        <f t="shared" si="2"/>
        <v>High</v>
      </c>
      <c r="I128" s="1" t="str">
        <f t="shared" si="3"/>
        <v>Phone</v>
      </c>
    </row>
    <row r="129" spans="1:9" ht="13.2" x14ac:dyDescent="0.25">
      <c r="A129" s="1">
        <v>128</v>
      </c>
      <c r="B129" s="1" t="s">
        <v>5</v>
      </c>
      <c r="C129" s="1" t="s">
        <v>10</v>
      </c>
      <c r="D129" s="1" t="s">
        <v>13</v>
      </c>
      <c r="E129" s="1">
        <v>2</v>
      </c>
      <c r="F129" s="3">
        <v>94621</v>
      </c>
      <c r="G129" s="3">
        <v>189242</v>
      </c>
      <c r="H129" s="1" t="str">
        <f t="shared" si="2"/>
        <v>Low</v>
      </c>
      <c r="I129" s="1" t="str">
        <f t="shared" si="3"/>
        <v>Laptop</v>
      </c>
    </row>
    <row r="130" spans="1:9" ht="13.2" x14ac:dyDescent="0.25">
      <c r="A130" s="1">
        <v>129</v>
      </c>
      <c r="B130" s="1" t="s">
        <v>5</v>
      </c>
      <c r="C130" s="1" t="s">
        <v>8</v>
      </c>
      <c r="D130" s="1" t="s">
        <v>13</v>
      </c>
      <c r="E130" s="1">
        <v>3</v>
      </c>
      <c r="F130" s="3">
        <v>174717</v>
      </c>
      <c r="G130" s="3">
        <v>524151</v>
      </c>
      <c r="H130" s="1" t="str">
        <f t="shared" ref="H130:H193" si="4">IF(G130&gt;1000000,"High","Low")</f>
        <v>Low</v>
      </c>
      <c r="I130" s="1" t="str">
        <f t="shared" ref="I130:I193" si="5">IF(B130="MacBook","Laptop",
   IF(B130="iPhone","Phone",
   IF(B130="iPad","Tablet","Other")))</f>
        <v>Laptop</v>
      </c>
    </row>
    <row r="131" spans="1:9" ht="13.2" x14ac:dyDescent="0.25">
      <c r="A131" s="1">
        <v>130</v>
      </c>
      <c r="B131" s="1" t="s">
        <v>5</v>
      </c>
      <c r="C131" s="1" t="s">
        <v>6</v>
      </c>
      <c r="D131" s="1" t="s">
        <v>13</v>
      </c>
      <c r="E131" s="1">
        <v>18</v>
      </c>
      <c r="F131" s="3">
        <v>195186</v>
      </c>
      <c r="G131" s="3">
        <v>3513348</v>
      </c>
      <c r="H131" s="1" t="str">
        <f t="shared" si="4"/>
        <v>High</v>
      </c>
      <c r="I131" s="1" t="str">
        <f t="shared" si="5"/>
        <v>Laptop</v>
      </c>
    </row>
    <row r="132" spans="1:9" ht="13.2" x14ac:dyDescent="0.25">
      <c r="A132" s="1">
        <v>131</v>
      </c>
      <c r="B132" s="1" t="s">
        <v>5</v>
      </c>
      <c r="C132" s="1" t="s">
        <v>6</v>
      </c>
      <c r="D132" s="1" t="s">
        <v>21</v>
      </c>
      <c r="E132" s="1">
        <v>5</v>
      </c>
      <c r="F132" s="3">
        <v>91062</v>
      </c>
      <c r="G132" s="3">
        <v>455310</v>
      </c>
      <c r="H132" s="1" t="str">
        <f t="shared" si="4"/>
        <v>Low</v>
      </c>
      <c r="I132" s="1" t="str">
        <f t="shared" si="5"/>
        <v>Laptop</v>
      </c>
    </row>
    <row r="133" spans="1:9" ht="13.2" x14ac:dyDescent="0.25">
      <c r="A133" s="1">
        <v>132</v>
      </c>
      <c r="B133" s="1" t="s">
        <v>11</v>
      </c>
      <c r="C133" s="1" t="s">
        <v>15</v>
      </c>
      <c r="D133" s="1" t="s">
        <v>9</v>
      </c>
      <c r="E133" s="1">
        <v>12</v>
      </c>
      <c r="F133" s="3">
        <v>64632</v>
      </c>
      <c r="G133" s="3">
        <v>775584</v>
      </c>
      <c r="H133" s="1" t="str">
        <f t="shared" si="4"/>
        <v>Low</v>
      </c>
      <c r="I133" s="1" t="str">
        <f t="shared" si="5"/>
        <v>Phone</v>
      </c>
    </row>
    <row r="134" spans="1:9" ht="13.2" x14ac:dyDescent="0.25">
      <c r="A134" s="1">
        <v>133</v>
      </c>
      <c r="B134" s="1" t="s">
        <v>11</v>
      </c>
      <c r="C134" s="1" t="s">
        <v>19</v>
      </c>
      <c r="D134" s="1" t="s">
        <v>9</v>
      </c>
      <c r="E134" s="1">
        <v>3</v>
      </c>
      <c r="F134" s="3">
        <v>76616</v>
      </c>
      <c r="G134" s="3">
        <v>229848</v>
      </c>
      <c r="H134" s="1" t="str">
        <f t="shared" si="4"/>
        <v>Low</v>
      </c>
      <c r="I134" s="1" t="str">
        <f t="shared" si="5"/>
        <v>Phone</v>
      </c>
    </row>
    <row r="135" spans="1:9" ht="13.2" x14ac:dyDescent="0.25">
      <c r="A135" s="1">
        <v>134</v>
      </c>
      <c r="B135" s="1" t="s">
        <v>5</v>
      </c>
      <c r="C135" s="1" t="s">
        <v>10</v>
      </c>
      <c r="D135" s="1" t="s">
        <v>9</v>
      </c>
      <c r="E135" s="1">
        <v>2</v>
      </c>
      <c r="F135" s="3">
        <v>171264</v>
      </c>
      <c r="G135" s="3">
        <v>342528</v>
      </c>
      <c r="H135" s="1" t="str">
        <f t="shared" si="4"/>
        <v>Low</v>
      </c>
      <c r="I135" s="1" t="str">
        <f t="shared" si="5"/>
        <v>Laptop</v>
      </c>
    </row>
    <row r="136" spans="1:9" ht="13.2" x14ac:dyDescent="0.25">
      <c r="A136" s="1">
        <v>135</v>
      </c>
      <c r="B136" s="1" t="s">
        <v>5</v>
      </c>
      <c r="C136" s="1" t="s">
        <v>10</v>
      </c>
      <c r="D136" s="1" t="s">
        <v>7</v>
      </c>
      <c r="E136" s="1">
        <v>9</v>
      </c>
      <c r="F136" s="3">
        <v>138447</v>
      </c>
      <c r="G136" s="3">
        <v>1246023</v>
      </c>
      <c r="H136" s="1" t="str">
        <f t="shared" si="4"/>
        <v>High</v>
      </c>
      <c r="I136" s="1" t="str">
        <f t="shared" si="5"/>
        <v>Laptop</v>
      </c>
    </row>
    <row r="137" spans="1:9" ht="13.2" x14ac:dyDescent="0.25">
      <c r="A137" s="1">
        <v>136</v>
      </c>
      <c r="B137" s="1" t="s">
        <v>5</v>
      </c>
      <c r="C137" s="1" t="s">
        <v>8</v>
      </c>
      <c r="D137" s="1" t="s">
        <v>21</v>
      </c>
      <c r="E137" s="1">
        <v>13</v>
      </c>
      <c r="F137" s="3">
        <v>249096</v>
      </c>
      <c r="G137" s="3">
        <v>3238248</v>
      </c>
      <c r="H137" s="1" t="str">
        <f t="shared" si="4"/>
        <v>High</v>
      </c>
      <c r="I137" s="1" t="str">
        <f t="shared" si="5"/>
        <v>Laptop</v>
      </c>
    </row>
    <row r="138" spans="1:9" ht="13.2" x14ac:dyDescent="0.25">
      <c r="A138" s="1">
        <v>137</v>
      </c>
      <c r="B138" s="1" t="s">
        <v>11</v>
      </c>
      <c r="C138" s="1" t="s">
        <v>19</v>
      </c>
      <c r="D138" s="1" t="s">
        <v>9</v>
      </c>
      <c r="E138" s="1">
        <v>6</v>
      </c>
      <c r="F138" s="3">
        <v>61605</v>
      </c>
      <c r="G138" s="3">
        <v>369630</v>
      </c>
      <c r="H138" s="1" t="str">
        <f t="shared" si="4"/>
        <v>Low</v>
      </c>
      <c r="I138" s="1" t="str">
        <f t="shared" si="5"/>
        <v>Phone</v>
      </c>
    </row>
    <row r="139" spans="1:9" ht="13.2" x14ac:dyDescent="0.25">
      <c r="A139" s="1">
        <v>138</v>
      </c>
      <c r="B139" s="1" t="s">
        <v>16</v>
      </c>
      <c r="C139" s="1" t="s">
        <v>17</v>
      </c>
      <c r="D139" s="1" t="s">
        <v>9</v>
      </c>
      <c r="E139" s="1">
        <v>9</v>
      </c>
      <c r="F139" s="3">
        <v>64818</v>
      </c>
      <c r="G139" s="3">
        <v>583362</v>
      </c>
      <c r="H139" s="1" t="str">
        <f t="shared" si="4"/>
        <v>Low</v>
      </c>
      <c r="I139" s="1" t="str">
        <f t="shared" si="5"/>
        <v>Tablet</v>
      </c>
    </row>
    <row r="140" spans="1:9" ht="13.2" x14ac:dyDescent="0.25">
      <c r="A140" s="1">
        <v>139</v>
      </c>
      <c r="B140" s="1" t="s">
        <v>5</v>
      </c>
      <c r="C140" s="1" t="s">
        <v>10</v>
      </c>
      <c r="D140" s="1" t="s">
        <v>9</v>
      </c>
      <c r="E140" s="1">
        <v>2</v>
      </c>
      <c r="F140" s="3">
        <v>249818</v>
      </c>
      <c r="G140" s="3">
        <v>499636</v>
      </c>
      <c r="H140" s="1" t="str">
        <f t="shared" si="4"/>
        <v>Low</v>
      </c>
      <c r="I140" s="1" t="str">
        <f t="shared" si="5"/>
        <v>Laptop</v>
      </c>
    </row>
    <row r="141" spans="1:9" ht="13.2" x14ac:dyDescent="0.25">
      <c r="A141" s="1">
        <v>140</v>
      </c>
      <c r="B141" s="1" t="s">
        <v>5</v>
      </c>
      <c r="C141" s="1" t="s">
        <v>10</v>
      </c>
      <c r="D141" s="1" t="s">
        <v>21</v>
      </c>
      <c r="E141" s="1">
        <v>17</v>
      </c>
      <c r="F141" s="3">
        <v>103234</v>
      </c>
      <c r="G141" s="3">
        <v>1754978</v>
      </c>
      <c r="H141" s="1" t="str">
        <f t="shared" si="4"/>
        <v>High</v>
      </c>
      <c r="I141" s="1" t="str">
        <f t="shared" si="5"/>
        <v>Laptop</v>
      </c>
    </row>
    <row r="142" spans="1:9" ht="13.2" x14ac:dyDescent="0.25">
      <c r="A142" s="1">
        <v>141</v>
      </c>
      <c r="B142" s="1" t="s">
        <v>16</v>
      </c>
      <c r="C142" s="1" t="s">
        <v>17</v>
      </c>
      <c r="D142" s="1" t="s">
        <v>14</v>
      </c>
      <c r="E142" s="1">
        <v>11</v>
      </c>
      <c r="F142" s="3">
        <v>88153</v>
      </c>
      <c r="G142" s="3">
        <v>969683</v>
      </c>
      <c r="H142" s="1" t="str">
        <f t="shared" si="4"/>
        <v>Low</v>
      </c>
      <c r="I142" s="1" t="str">
        <f t="shared" si="5"/>
        <v>Tablet</v>
      </c>
    </row>
    <row r="143" spans="1:9" ht="13.2" x14ac:dyDescent="0.25">
      <c r="A143" s="1">
        <v>142</v>
      </c>
      <c r="B143" s="1" t="s">
        <v>11</v>
      </c>
      <c r="C143" s="1" t="s">
        <v>19</v>
      </c>
      <c r="D143" s="1" t="s">
        <v>21</v>
      </c>
      <c r="E143" s="1">
        <v>4</v>
      </c>
      <c r="F143" s="3">
        <v>86386</v>
      </c>
      <c r="G143" s="3">
        <v>345544</v>
      </c>
      <c r="H143" s="1" t="str">
        <f t="shared" si="4"/>
        <v>Low</v>
      </c>
      <c r="I143" s="1" t="str">
        <f t="shared" si="5"/>
        <v>Phone</v>
      </c>
    </row>
    <row r="144" spans="1:9" ht="13.2" x14ac:dyDescent="0.25">
      <c r="A144" s="1">
        <v>143</v>
      </c>
      <c r="B144" s="1" t="s">
        <v>16</v>
      </c>
      <c r="C144" s="1" t="s">
        <v>20</v>
      </c>
      <c r="D144" s="1" t="s">
        <v>9</v>
      </c>
      <c r="E144" s="1">
        <v>6</v>
      </c>
      <c r="F144" s="3">
        <v>41917</v>
      </c>
      <c r="G144" s="3">
        <v>251502</v>
      </c>
      <c r="H144" s="1" t="str">
        <f t="shared" si="4"/>
        <v>Low</v>
      </c>
      <c r="I144" s="1" t="str">
        <f t="shared" si="5"/>
        <v>Tablet</v>
      </c>
    </row>
    <row r="145" spans="1:9" ht="13.2" x14ac:dyDescent="0.25">
      <c r="A145" s="1">
        <v>144</v>
      </c>
      <c r="B145" s="1" t="s">
        <v>11</v>
      </c>
      <c r="C145" s="1" t="s">
        <v>15</v>
      </c>
      <c r="D145" s="1" t="s">
        <v>14</v>
      </c>
      <c r="E145" s="1">
        <v>3</v>
      </c>
      <c r="F145" s="3">
        <v>80128</v>
      </c>
      <c r="G145" s="3">
        <v>240384</v>
      </c>
      <c r="H145" s="1" t="str">
        <f t="shared" si="4"/>
        <v>Low</v>
      </c>
      <c r="I145" s="1" t="str">
        <f t="shared" si="5"/>
        <v>Phone</v>
      </c>
    </row>
    <row r="146" spans="1:9" ht="13.2" x14ac:dyDescent="0.25">
      <c r="A146" s="1">
        <v>145</v>
      </c>
      <c r="B146" s="1" t="s">
        <v>5</v>
      </c>
      <c r="C146" s="1" t="s">
        <v>10</v>
      </c>
      <c r="D146" s="1" t="s">
        <v>7</v>
      </c>
      <c r="E146" s="1">
        <v>12</v>
      </c>
      <c r="F146" s="3">
        <v>95287</v>
      </c>
      <c r="G146" s="3">
        <v>1143444</v>
      </c>
      <c r="H146" s="1" t="str">
        <f t="shared" si="4"/>
        <v>High</v>
      </c>
      <c r="I146" s="1" t="str">
        <f t="shared" si="5"/>
        <v>Laptop</v>
      </c>
    </row>
    <row r="147" spans="1:9" ht="13.2" x14ac:dyDescent="0.25">
      <c r="A147" s="1">
        <v>146</v>
      </c>
      <c r="B147" s="1" t="s">
        <v>11</v>
      </c>
      <c r="C147" s="1" t="s">
        <v>15</v>
      </c>
      <c r="D147" s="1" t="s">
        <v>13</v>
      </c>
      <c r="E147" s="1">
        <v>5</v>
      </c>
      <c r="F147" s="3">
        <v>103336</v>
      </c>
      <c r="G147" s="3">
        <v>516680</v>
      </c>
      <c r="H147" s="1" t="str">
        <f t="shared" si="4"/>
        <v>Low</v>
      </c>
      <c r="I147" s="1" t="str">
        <f t="shared" si="5"/>
        <v>Phone</v>
      </c>
    </row>
    <row r="148" spans="1:9" ht="13.2" x14ac:dyDescent="0.25">
      <c r="A148" s="1">
        <v>147</v>
      </c>
      <c r="B148" s="1" t="s">
        <v>16</v>
      </c>
      <c r="C148" s="1" t="s">
        <v>17</v>
      </c>
      <c r="D148" s="1" t="s">
        <v>9</v>
      </c>
      <c r="E148" s="1">
        <v>17</v>
      </c>
      <c r="F148" s="3">
        <v>71037</v>
      </c>
      <c r="G148" s="3">
        <v>1207629</v>
      </c>
      <c r="H148" s="1" t="str">
        <f t="shared" si="4"/>
        <v>High</v>
      </c>
      <c r="I148" s="1" t="str">
        <f t="shared" si="5"/>
        <v>Tablet</v>
      </c>
    </row>
    <row r="149" spans="1:9" ht="13.2" x14ac:dyDescent="0.25">
      <c r="A149" s="1">
        <v>148</v>
      </c>
      <c r="B149" s="1" t="s">
        <v>16</v>
      </c>
      <c r="C149" s="1" t="s">
        <v>20</v>
      </c>
      <c r="D149" s="1" t="s">
        <v>13</v>
      </c>
      <c r="E149" s="1">
        <v>11</v>
      </c>
      <c r="F149" s="3">
        <v>59019</v>
      </c>
      <c r="G149" s="3">
        <v>649209</v>
      </c>
      <c r="H149" s="1" t="str">
        <f t="shared" si="4"/>
        <v>Low</v>
      </c>
      <c r="I149" s="1" t="str">
        <f t="shared" si="5"/>
        <v>Tablet</v>
      </c>
    </row>
    <row r="150" spans="1:9" ht="13.2" x14ac:dyDescent="0.25">
      <c r="A150" s="1">
        <v>149</v>
      </c>
      <c r="B150" s="1" t="s">
        <v>11</v>
      </c>
      <c r="C150" s="1" t="s">
        <v>19</v>
      </c>
      <c r="D150" s="1" t="s">
        <v>9</v>
      </c>
      <c r="E150" s="1">
        <v>8</v>
      </c>
      <c r="F150" s="3">
        <v>101832</v>
      </c>
      <c r="G150" s="3">
        <v>814656</v>
      </c>
      <c r="H150" s="1" t="str">
        <f t="shared" si="4"/>
        <v>Low</v>
      </c>
      <c r="I150" s="1" t="str">
        <f t="shared" si="5"/>
        <v>Phone</v>
      </c>
    </row>
    <row r="151" spans="1:9" ht="13.2" x14ac:dyDescent="0.25">
      <c r="A151" s="1">
        <v>150</v>
      </c>
      <c r="B151" s="1" t="s">
        <v>16</v>
      </c>
      <c r="C151" s="1" t="s">
        <v>17</v>
      </c>
      <c r="D151" s="1" t="s">
        <v>7</v>
      </c>
      <c r="E151" s="1">
        <v>5</v>
      </c>
      <c r="F151" s="3">
        <v>63930</v>
      </c>
      <c r="G151" s="3">
        <v>319650</v>
      </c>
      <c r="H151" s="1" t="str">
        <f t="shared" si="4"/>
        <v>Low</v>
      </c>
      <c r="I151" s="1" t="str">
        <f t="shared" si="5"/>
        <v>Tablet</v>
      </c>
    </row>
    <row r="152" spans="1:9" ht="13.2" x14ac:dyDescent="0.25">
      <c r="A152" s="1">
        <v>151</v>
      </c>
      <c r="B152" s="1" t="s">
        <v>16</v>
      </c>
      <c r="C152" s="1" t="s">
        <v>18</v>
      </c>
      <c r="D152" s="1" t="s">
        <v>13</v>
      </c>
      <c r="E152" s="1">
        <v>13</v>
      </c>
      <c r="F152" s="3">
        <v>58520</v>
      </c>
      <c r="G152" s="3">
        <v>760760</v>
      </c>
      <c r="H152" s="1" t="str">
        <f t="shared" si="4"/>
        <v>Low</v>
      </c>
      <c r="I152" s="1" t="str">
        <f t="shared" si="5"/>
        <v>Tablet</v>
      </c>
    </row>
    <row r="153" spans="1:9" ht="13.2" x14ac:dyDescent="0.25">
      <c r="A153" s="1">
        <v>152</v>
      </c>
      <c r="B153" s="1" t="s">
        <v>11</v>
      </c>
      <c r="C153" s="1" t="s">
        <v>19</v>
      </c>
      <c r="D153" s="1" t="s">
        <v>21</v>
      </c>
      <c r="E153" s="1">
        <v>1</v>
      </c>
      <c r="F153" s="3">
        <v>81526</v>
      </c>
      <c r="G153" s="3">
        <v>81526</v>
      </c>
      <c r="H153" s="1" t="str">
        <f t="shared" si="4"/>
        <v>Low</v>
      </c>
      <c r="I153" s="1" t="str">
        <f t="shared" si="5"/>
        <v>Phone</v>
      </c>
    </row>
    <row r="154" spans="1:9" ht="13.2" x14ac:dyDescent="0.25">
      <c r="A154" s="1">
        <v>153</v>
      </c>
      <c r="B154" s="1" t="s">
        <v>11</v>
      </c>
      <c r="C154" s="1" t="s">
        <v>12</v>
      </c>
      <c r="D154" s="1" t="s">
        <v>14</v>
      </c>
      <c r="E154" s="1">
        <v>1</v>
      </c>
      <c r="F154" s="3">
        <v>71246</v>
      </c>
      <c r="G154" s="3">
        <v>71246</v>
      </c>
      <c r="H154" s="1" t="str">
        <f t="shared" si="4"/>
        <v>Low</v>
      </c>
      <c r="I154" s="1" t="str">
        <f t="shared" si="5"/>
        <v>Phone</v>
      </c>
    </row>
    <row r="155" spans="1:9" ht="13.2" x14ac:dyDescent="0.25">
      <c r="A155" s="1">
        <v>154</v>
      </c>
      <c r="B155" s="1" t="s">
        <v>5</v>
      </c>
      <c r="C155" s="1" t="s">
        <v>8</v>
      </c>
      <c r="D155" s="1" t="s">
        <v>13</v>
      </c>
      <c r="E155" s="1">
        <v>19</v>
      </c>
      <c r="F155" s="3">
        <v>186646</v>
      </c>
      <c r="G155" s="3">
        <v>3546274</v>
      </c>
      <c r="H155" s="1" t="str">
        <f t="shared" si="4"/>
        <v>High</v>
      </c>
      <c r="I155" s="1" t="str">
        <f t="shared" si="5"/>
        <v>Laptop</v>
      </c>
    </row>
    <row r="156" spans="1:9" ht="13.2" x14ac:dyDescent="0.25">
      <c r="A156" s="1">
        <v>155</v>
      </c>
      <c r="B156" s="1" t="s">
        <v>16</v>
      </c>
      <c r="C156" s="1" t="s">
        <v>17</v>
      </c>
      <c r="D156" s="1" t="s">
        <v>13</v>
      </c>
      <c r="E156" s="1">
        <v>15</v>
      </c>
      <c r="F156" s="3">
        <v>45408</v>
      </c>
      <c r="G156" s="3">
        <v>681120</v>
      </c>
      <c r="H156" s="1" t="str">
        <f t="shared" si="4"/>
        <v>Low</v>
      </c>
      <c r="I156" s="1" t="str">
        <f t="shared" si="5"/>
        <v>Tablet</v>
      </c>
    </row>
    <row r="157" spans="1:9" ht="13.2" x14ac:dyDescent="0.25">
      <c r="A157" s="1">
        <v>156</v>
      </c>
      <c r="B157" s="1" t="s">
        <v>11</v>
      </c>
      <c r="C157" s="1" t="s">
        <v>19</v>
      </c>
      <c r="D157" s="1" t="s">
        <v>9</v>
      </c>
      <c r="E157" s="1">
        <v>1</v>
      </c>
      <c r="F157" s="3">
        <v>104028</v>
      </c>
      <c r="G157" s="3">
        <v>104028</v>
      </c>
      <c r="H157" s="1" t="str">
        <f t="shared" si="4"/>
        <v>Low</v>
      </c>
      <c r="I157" s="1" t="str">
        <f t="shared" si="5"/>
        <v>Phone</v>
      </c>
    </row>
    <row r="158" spans="1:9" ht="13.2" x14ac:dyDescent="0.25">
      <c r="A158" s="1">
        <v>157</v>
      </c>
      <c r="B158" s="1" t="s">
        <v>16</v>
      </c>
      <c r="C158" s="1" t="s">
        <v>20</v>
      </c>
      <c r="D158" s="1" t="s">
        <v>14</v>
      </c>
      <c r="E158" s="1">
        <v>10</v>
      </c>
      <c r="F158" s="3">
        <v>86714</v>
      </c>
      <c r="G158" s="3">
        <v>867140</v>
      </c>
      <c r="H158" s="1" t="str">
        <f t="shared" si="4"/>
        <v>Low</v>
      </c>
      <c r="I158" s="1" t="str">
        <f t="shared" si="5"/>
        <v>Tablet</v>
      </c>
    </row>
    <row r="159" spans="1:9" ht="13.2" x14ac:dyDescent="0.25">
      <c r="A159" s="1">
        <v>158</v>
      </c>
      <c r="B159" s="1" t="s">
        <v>5</v>
      </c>
      <c r="C159" s="1" t="s">
        <v>8</v>
      </c>
      <c r="D159" s="1" t="s">
        <v>14</v>
      </c>
      <c r="E159" s="1">
        <v>4</v>
      </c>
      <c r="F159" s="3">
        <v>219038</v>
      </c>
      <c r="G159" s="3">
        <v>876152</v>
      </c>
      <c r="H159" s="1" t="str">
        <f t="shared" si="4"/>
        <v>Low</v>
      </c>
      <c r="I159" s="1" t="str">
        <f t="shared" si="5"/>
        <v>Laptop</v>
      </c>
    </row>
    <row r="160" spans="1:9" ht="13.2" x14ac:dyDescent="0.25">
      <c r="A160" s="1">
        <v>159</v>
      </c>
      <c r="B160" s="1" t="s">
        <v>11</v>
      </c>
      <c r="C160" s="1" t="s">
        <v>12</v>
      </c>
      <c r="D160" s="1" t="s">
        <v>7</v>
      </c>
      <c r="E160" s="1">
        <v>15</v>
      </c>
      <c r="F160" s="3">
        <v>78755</v>
      </c>
      <c r="G160" s="3">
        <v>1181325</v>
      </c>
      <c r="H160" s="1" t="str">
        <f t="shared" si="4"/>
        <v>High</v>
      </c>
      <c r="I160" s="1" t="str">
        <f t="shared" si="5"/>
        <v>Phone</v>
      </c>
    </row>
    <row r="161" spans="1:9" ht="13.2" x14ac:dyDescent="0.25">
      <c r="A161" s="1">
        <v>160</v>
      </c>
      <c r="B161" s="1" t="s">
        <v>5</v>
      </c>
      <c r="C161" s="1" t="s">
        <v>8</v>
      </c>
      <c r="D161" s="1" t="s">
        <v>13</v>
      </c>
      <c r="E161" s="1">
        <v>19</v>
      </c>
      <c r="F161" s="3">
        <v>214714</v>
      </c>
      <c r="G161" s="3">
        <v>4079566</v>
      </c>
      <c r="H161" s="1" t="str">
        <f t="shared" si="4"/>
        <v>High</v>
      </c>
      <c r="I161" s="1" t="str">
        <f t="shared" si="5"/>
        <v>Laptop</v>
      </c>
    </row>
    <row r="162" spans="1:9" ht="13.2" x14ac:dyDescent="0.25">
      <c r="A162" s="1">
        <v>161</v>
      </c>
      <c r="B162" s="1" t="s">
        <v>11</v>
      </c>
      <c r="C162" s="1" t="s">
        <v>15</v>
      </c>
      <c r="D162" s="1" t="s">
        <v>7</v>
      </c>
      <c r="E162" s="1">
        <v>10</v>
      </c>
      <c r="F162" s="3">
        <v>103879</v>
      </c>
      <c r="G162" s="3">
        <v>1038790</v>
      </c>
      <c r="H162" s="1" t="str">
        <f t="shared" si="4"/>
        <v>High</v>
      </c>
      <c r="I162" s="1" t="str">
        <f t="shared" si="5"/>
        <v>Phone</v>
      </c>
    </row>
    <row r="163" spans="1:9" ht="13.2" x14ac:dyDescent="0.25">
      <c r="A163" s="1">
        <v>162</v>
      </c>
      <c r="B163" s="1" t="s">
        <v>16</v>
      </c>
      <c r="C163" s="1" t="s">
        <v>17</v>
      </c>
      <c r="D163" s="1" t="s">
        <v>7</v>
      </c>
      <c r="E163" s="1">
        <v>12</v>
      </c>
      <c r="F163" s="3">
        <v>50380</v>
      </c>
      <c r="G163" s="3">
        <v>604560</v>
      </c>
      <c r="H163" s="1" t="str">
        <f t="shared" si="4"/>
        <v>Low</v>
      </c>
      <c r="I163" s="1" t="str">
        <f t="shared" si="5"/>
        <v>Tablet</v>
      </c>
    </row>
    <row r="164" spans="1:9" ht="13.2" x14ac:dyDescent="0.25">
      <c r="A164" s="1">
        <v>163</v>
      </c>
      <c r="B164" s="1" t="s">
        <v>11</v>
      </c>
      <c r="C164" s="1" t="s">
        <v>12</v>
      </c>
      <c r="D164" s="1" t="s">
        <v>9</v>
      </c>
      <c r="E164" s="1">
        <v>15</v>
      </c>
      <c r="F164" s="3">
        <v>86215</v>
      </c>
      <c r="G164" s="3">
        <v>1293225</v>
      </c>
      <c r="H164" s="1" t="str">
        <f t="shared" si="4"/>
        <v>High</v>
      </c>
      <c r="I164" s="1" t="str">
        <f t="shared" si="5"/>
        <v>Phone</v>
      </c>
    </row>
    <row r="165" spans="1:9" ht="13.2" x14ac:dyDescent="0.25">
      <c r="A165" s="1">
        <v>164</v>
      </c>
      <c r="B165" s="1" t="s">
        <v>11</v>
      </c>
      <c r="C165" s="1" t="s">
        <v>12</v>
      </c>
      <c r="D165" s="1" t="s">
        <v>9</v>
      </c>
      <c r="E165" s="1">
        <v>8</v>
      </c>
      <c r="F165" s="3">
        <v>60126</v>
      </c>
      <c r="G165" s="3">
        <v>481008</v>
      </c>
      <c r="H165" s="1" t="str">
        <f t="shared" si="4"/>
        <v>Low</v>
      </c>
      <c r="I165" s="1" t="str">
        <f t="shared" si="5"/>
        <v>Phone</v>
      </c>
    </row>
    <row r="166" spans="1:9" ht="13.2" x14ac:dyDescent="0.25">
      <c r="A166" s="1">
        <v>165</v>
      </c>
      <c r="B166" s="1" t="s">
        <v>5</v>
      </c>
      <c r="C166" s="1" t="s">
        <v>10</v>
      </c>
      <c r="D166" s="1" t="s">
        <v>13</v>
      </c>
      <c r="E166" s="1">
        <v>9</v>
      </c>
      <c r="F166" s="3">
        <v>224869</v>
      </c>
      <c r="G166" s="3">
        <v>2023821</v>
      </c>
      <c r="H166" s="1" t="str">
        <f t="shared" si="4"/>
        <v>High</v>
      </c>
      <c r="I166" s="1" t="str">
        <f t="shared" si="5"/>
        <v>Laptop</v>
      </c>
    </row>
    <row r="167" spans="1:9" ht="13.2" x14ac:dyDescent="0.25">
      <c r="A167" s="1">
        <v>166</v>
      </c>
      <c r="B167" s="1" t="s">
        <v>5</v>
      </c>
      <c r="C167" s="1" t="s">
        <v>6</v>
      </c>
      <c r="D167" s="1" t="s">
        <v>9</v>
      </c>
      <c r="E167" s="1">
        <v>14</v>
      </c>
      <c r="F167" s="3">
        <v>222717</v>
      </c>
      <c r="G167" s="3">
        <v>3118038</v>
      </c>
      <c r="H167" s="1" t="str">
        <f t="shared" si="4"/>
        <v>High</v>
      </c>
      <c r="I167" s="1" t="str">
        <f t="shared" si="5"/>
        <v>Laptop</v>
      </c>
    </row>
    <row r="168" spans="1:9" ht="13.2" x14ac:dyDescent="0.25">
      <c r="A168" s="1">
        <v>167</v>
      </c>
      <c r="B168" s="1" t="s">
        <v>16</v>
      </c>
      <c r="C168" s="1" t="s">
        <v>17</v>
      </c>
      <c r="D168" s="1" t="s">
        <v>14</v>
      </c>
      <c r="E168" s="1">
        <v>1</v>
      </c>
      <c r="F168" s="3">
        <v>93173</v>
      </c>
      <c r="G168" s="3">
        <v>93173</v>
      </c>
      <c r="H168" s="1" t="str">
        <f t="shared" si="4"/>
        <v>Low</v>
      </c>
      <c r="I168" s="1" t="str">
        <f t="shared" si="5"/>
        <v>Tablet</v>
      </c>
    </row>
    <row r="169" spans="1:9" ht="13.2" x14ac:dyDescent="0.25">
      <c r="A169" s="1">
        <v>168</v>
      </c>
      <c r="B169" s="1" t="s">
        <v>5</v>
      </c>
      <c r="C169" s="1" t="s">
        <v>6</v>
      </c>
      <c r="D169" s="1" t="s">
        <v>14</v>
      </c>
      <c r="E169" s="1">
        <v>9</v>
      </c>
      <c r="F169" s="3">
        <v>129224</v>
      </c>
      <c r="G169" s="3">
        <v>1163016</v>
      </c>
      <c r="H169" s="1" t="str">
        <f t="shared" si="4"/>
        <v>High</v>
      </c>
      <c r="I169" s="1" t="str">
        <f t="shared" si="5"/>
        <v>Laptop</v>
      </c>
    </row>
    <row r="170" spans="1:9" ht="13.2" x14ac:dyDescent="0.25">
      <c r="A170" s="1">
        <v>169</v>
      </c>
      <c r="B170" s="1" t="s">
        <v>16</v>
      </c>
      <c r="C170" s="1" t="s">
        <v>18</v>
      </c>
      <c r="D170" s="1" t="s">
        <v>7</v>
      </c>
      <c r="E170" s="1">
        <v>3</v>
      </c>
      <c r="F170" s="3">
        <v>89688</v>
      </c>
      <c r="G170" s="3">
        <v>269064</v>
      </c>
      <c r="H170" s="1" t="str">
        <f t="shared" si="4"/>
        <v>Low</v>
      </c>
      <c r="I170" s="1" t="str">
        <f t="shared" si="5"/>
        <v>Tablet</v>
      </c>
    </row>
    <row r="171" spans="1:9" ht="13.2" x14ac:dyDescent="0.25">
      <c r="A171" s="1">
        <v>170</v>
      </c>
      <c r="B171" s="1" t="s">
        <v>5</v>
      </c>
      <c r="C171" s="1" t="s">
        <v>10</v>
      </c>
      <c r="D171" s="1" t="s">
        <v>9</v>
      </c>
      <c r="E171" s="1">
        <v>17</v>
      </c>
      <c r="F171" s="3">
        <v>131914</v>
      </c>
      <c r="G171" s="3">
        <v>2242538</v>
      </c>
      <c r="H171" s="1" t="str">
        <f t="shared" si="4"/>
        <v>High</v>
      </c>
      <c r="I171" s="1" t="str">
        <f t="shared" si="5"/>
        <v>Laptop</v>
      </c>
    </row>
    <row r="172" spans="1:9" ht="13.2" x14ac:dyDescent="0.25">
      <c r="A172" s="1">
        <v>171</v>
      </c>
      <c r="B172" s="1" t="s">
        <v>5</v>
      </c>
      <c r="C172" s="1" t="s">
        <v>8</v>
      </c>
      <c r="D172" s="1" t="s">
        <v>21</v>
      </c>
      <c r="E172" s="1">
        <v>7</v>
      </c>
      <c r="F172" s="3">
        <v>109956</v>
      </c>
      <c r="G172" s="3">
        <v>769692</v>
      </c>
      <c r="H172" s="1" t="str">
        <f t="shared" si="4"/>
        <v>Low</v>
      </c>
      <c r="I172" s="1" t="str">
        <f t="shared" si="5"/>
        <v>Laptop</v>
      </c>
    </row>
    <row r="173" spans="1:9" ht="13.2" x14ac:dyDescent="0.25">
      <c r="A173" s="1">
        <v>172</v>
      </c>
      <c r="B173" s="1" t="s">
        <v>11</v>
      </c>
      <c r="C173" s="1" t="s">
        <v>12</v>
      </c>
      <c r="D173" s="1" t="s">
        <v>7</v>
      </c>
      <c r="E173" s="1">
        <v>11</v>
      </c>
      <c r="F173" s="3">
        <v>64757</v>
      </c>
      <c r="G173" s="3">
        <v>712327</v>
      </c>
      <c r="H173" s="1" t="str">
        <f t="shared" si="4"/>
        <v>Low</v>
      </c>
      <c r="I173" s="1" t="str">
        <f t="shared" si="5"/>
        <v>Phone</v>
      </c>
    </row>
    <row r="174" spans="1:9" ht="13.2" x14ac:dyDescent="0.25">
      <c r="A174" s="1">
        <v>173</v>
      </c>
      <c r="B174" s="1" t="s">
        <v>11</v>
      </c>
      <c r="C174" s="1" t="s">
        <v>12</v>
      </c>
      <c r="D174" s="1" t="s">
        <v>21</v>
      </c>
      <c r="E174" s="1">
        <v>7</v>
      </c>
      <c r="F174" s="3">
        <v>64944</v>
      </c>
      <c r="G174" s="3">
        <v>454608</v>
      </c>
      <c r="H174" s="1" t="str">
        <f t="shared" si="4"/>
        <v>Low</v>
      </c>
      <c r="I174" s="1" t="str">
        <f t="shared" si="5"/>
        <v>Phone</v>
      </c>
    </row>
    <row r="175" spans="1:9" ht="13.2" x14ac:dyDescent="0.25">
      <c r="A175" s="1">
        <v>174</v>
      </c>
      <c r="B175" s="1" t="s">
        <v>16</v>
      </c>
      <c r="C175" s="1" t="s">
        <v>20</v>
      </c>
      <c r="D175" s="1" t="s">
        <v>14</v>
      </c>
      <c r="E175" s="1">
        <v>8</v>
      </c>
      <c r="F175" s="3">
        <v>60806</v>
      </c>
      <c r="G175" s="3">
        <v>486448</v>
      </c>
      <c r="H175" s="1" t="str">
        <f t="shared" si="4"/>
        <v>Low</v>
      </c>
      <c r="I175" s="1" t="str">
        <f t="shared" si="5"/>
        <v>Tablet</v>
      </c>
    </row>
    <row r="176" spans="1:9" ht="13.2" x14ac:dyDescent="0.25">
      <c r="A176" s="1">
        <v>175</v>
      </c>
      <c r="B176" s="1" t="s">
        <v>16</v>
      </c>
      <c r="C176" s="1" t="s">
        <v>17</v>
      </c>
      <c r="D176" s="1" t="s">
        <v>14</v>
      </c>
      <c r="E176" s="1">
        <v>19</v>
      </c>
      <c r="F176" s="3">
        <v>73719</v>
      </c>
      <c r="G176" s="3">
        <v>1400661</v>
      </c>
      <c r="H176" s="1" t="str">
        <f t="shared" si="4"/>
        <v>High</v>
      </c>
      <c r="I176" s="1" t="str">
        <f t="shared" si="5"/>
        <v>Tablet</v>
      </c>
    </row>
    <row r="177" spans="1:9" ht="13.2" x14ac:dyDescent="0.25">
      <c r="A177" s="1">
        <v>176</v>
      </c>
      <c r="B177" s="1" t="s">
        <v>11</v>
      </c>
      <c r="C177" s="1" t="s">
        <v>12</v>
      </c>
      <c r="D177" s="1" t="s">
        <v>21</v>
      </c>
      <c r="E177" s="1">
        <v>16</v>
      </c>
      <c r="F177" s="3">
        <v>88071</v>
      </c>
      <c r="G177" s="3">
        <v>1409136</v>
      </c>
      <c r="H177" s="1" t="str">
        <f t="shared" si="4"/>
        <v>High</v>
      </c>
      <c r="I177" s="1" t="str">
        <f t="shared" si="5"/>
        <v>Phone</v>
      </c>
    </row>
    <row r="178" spans="1:9" ht="13.2" x14ac:dyDescent="0.25">
      <c r="A178" s="1">
        <v>177</v>
      </c>
      <c r="B178" s="1" t="s">
        <v>16</v>
      </c>
      <c r="C178" s="1" t="s">
        <v>17</v>
      </c>
      <c r="D178" s="1" t="s">
        <v>21</v>
      </c>
      <c r="E178" s="1">
        <v>15</v>
      </c>
      <c r="F178" s="3">
        <v>46645</v>
      </c>
      <c r="G178" s="3">
        <v>699675</v>
      </c>
      <c r="H178" s="1" t="str">
        <f t="shared" si="4"/>
        <v>Low</v>
      </c>
      <c r="I178" s="1" t="str">
        <f t="shared" si="5"/>
        <v>Tablet</v>
      </c>
    </row>
    <row r="179" spans="1:9" ht="13.2" x14ac:dyDescent="0.25">
      <c r="A179" s="1">
        <v>178</v>
      </c>
      <c r="B179" s="1" t="s">
        <v>16</v>
      </c>
      <c r="C179" s="1" t="s">
        <v>20</v>
      </c>
      <c r="D179" s="1" t="s">
        <v>21</v>
      </c>
      <c r="E179" s="1">
        <v>6</v>
      </c>
      <c r="F179" s="3">
        <v>94078</v>
      </c>
      <c r="G179" s="3">
        <v>564468</v>
      </c>
      <c r="H179" s="1" t="str">
        <f t="shared" si="4"/>
        <v>Low</v>
      </c>
      <c r="I179" s="1" t="str">
        <f t="shared" si="5"/>
        <v>Tablet</v>
      </c>
    </row>
    <row r="180" spans="1:9" ht="13.2" x14ac:dyDescent="0.25">
      <c r="A180" s="1">
        <v>179</v>
      </c>
      <c r="B180" s="1" t="s">
        <v>11</v>
      </c>
      <c r="C180" s="1" t="s">
        <v>15</v>
      </c>
      <c r="D180" s="1" t="s">
        <v>7</v>
      </c>
      <c r="E180" s="1">
        <v>7</v>
      </c>
      <c r="F180" s="3">
        <v>108770</v>
      </c>
      <c r="G180" s="3">
        <v>761390</v>
      </c>
      <c r="H180" s="1" t="str">
        <f t="shared" si="4"/>
        <v>Low</v>
      </c>
      <c r="I180" s="1" t="str">
        <f t="shared" si="5"/>
        <v>Phone</v>
      </c>
    </row>
    <row r="181" spans="1:9" ht="13.2" x14ac:dyDescent="0.25">
      <c r="A181" s="1">
        <v>180</v>
      </c>
      <c r="B181" s="1" t="s">
        <v>5</v>
      </c>
      <c r="C181" s="1" t="s">
        <v>10</v>
      </c>
      <c r="D181" s="1" t="s">
        <v>7</v>
      </c>
      <c r="E181" s="1">
        <v>2</v>
      </c>
      <c r="F181" s="3">
        <v>195947</v>
      </c>
      <c r="G181" s="3">
        <v>391894</v>
      </c>
      <c r="H181" s="1" t="str">
        <f t="shared" si="4"/>
        <v>Low</v>
      </c>
      <c r="I181" s="1" t="str">
        <f t="shared" si="5"/>
        <v>Laptop</v>
      </c>
    </row>
    <row r="182" spans="1:9" ht="13.2" x14ac:dyDescent="0.25">
      <c r="A182" s="1">
        <v>181</v>
      </c>
      <c r="B182" s="1" t="s">
        <v>5</v>
      </c>
      <c r="C182" s="1" t="s">
        <v>6</v>
      </c>
      <c r="D182" s="1" t="s">
        <v>13</v>
      </c>
      <c r="E182" s="1">
        <v>8</v>
      </c>
      <c r="F182" s="3">
        <v>120678</v>
      </c>
      <c r="G182" s="3">
        <v>965424</v>
      </c>
      <c r="H182" s="1" t="str">
        <f t="shared" si="4"/>
        <v>Low</v>
      </c>
      <c r="I182" s="1" t="str">
        <f t="shared" si="5"/>
        <v>Laptop</v>
      </c>
    </row>
    <row r="183" spans="1:9" ht="13.2" x14ac:dyDescent="0.25">
      <c r="A183" s="1">
        <v>182</v>
      </c>
      <c r="B183" s="1" t="s">
        <v>5</v>
      </c>
      <c r="C183" s="1" t="s">
        <v>6</v>
      </c>
      <c r="D183" s="1" t="s">
        <v>13</v>
      </c>
      <c r="E183" s="1">
        <v>8</v>
      </c>
      <c r="F183" s="3">
        <v>162258</v>
      </c>
      <c r="G183" s="3">
        <v>1298064</v>
      </c>
      <c r="H183" s="1" t="str">
        <f t="shared" si="4"/>
        <v>High</v>
      </c>
      <c r="I183" s="1" t="str">
        <f t="shared" si="5"/>
        <v>Laptop</v>
      </c>
    </row>
    <row r="184" spans="1:9" ht="13.2" x14ac:dyDescent="0.25">
      <c r="A184" s="1">
        <v>183</v>
      </c>
      <c r="B184" s="1" t="s">
        <v>11</v>
      </c>
      <c r="C184" s="1" t="s">
        <v>15</v>
      </c>
      <c r="D184" s="1" t="s">
        <v>13</v>
      </c>
      <c r="E184" s="1">
        <v>8</v>
      </c>
      <c r="F184" s="3">
        <v>67970</v>
      </c>
      <c r="G184" s="3">
        <v>543760</v>
      </c>
      <c r="H184" s="1" t="str">
        <f t="shared" si="4"/>
        <v>Low</v>
      </c>
      <c r="I184" s="1" t="str">
        <f t="shared" si="5"/>
        <v>Phone</v>
      </c>
    </row>
    <row r="185" spans="1:9" ht="13.2" x14ac:dyDescent="0.25">
      <c r="A185" s="1">
        <v>184</v>
      </c>
      <c r="B185" s="1" t="s">
        <v>11</v>
      </c>
      <c r="C185" s="1" t="s">
        <v>19</v>
      </c>
      <c r="D185" s="1" t="s">
        <v>7</v>
      </c>
      <c r="E185" s="1">
        <v>14</v>
      </c>
      <c r="F185" s="3">
        <v>107838</v>
      </c>
      <c r="G185" s="3">
        <v>1509732</v>
      </c>
      <c r="H185" s="1" t="str">
        <f t="shared" si="4"/>
        <v>High</v>
      </c>
      <c r="I185" s="1" t="str">
        <f t="shared" si="5"/>
        <v>Phone</v>
      </c>
    </row>
    <row r="186" spans="1:9" ht="13.2" x14ac:dyDescent="0.25">
      <c r="A186" s="1">
        <v>185</v>
      </c>
      <c r="B186" s="1" t="s">
        <v>5</v>
      </c>
      <c r="C186" s="1" t="s">
        <v>10</v>
      </c>
      <c r="D186" s="1" t="s">
        <v>14</v>
      </c>
      <c r="E186" s="1">
        <v>7</v>
      </c>
      <c r="F186" s="3">
        <v>241151</v>
      </c>
      <c r="G186" s="3">
        <v>1688057</v>
      </c>
      <c r="H186" s="1" t="str">
        <f t="shared" si="4"/>
        <v>High</v>
      </c>
      <c r="I186" s="1" t="str">
        <f t="shared" si="5"/>
        <v>Laptop</v>
      </c>
    </row>
    <row r="187" spans="1:9" ht="13.2" x14ac:dyDescent="0.25">
      <c r="A187" s="1">
        <v>186</v>
      </c>
      <c r="B187" s="1" t="s">
        <v>5</v>
      </c>
      <c r="C187" s="1" t="s">
        <v>6</v>
      </c>
      <c r="D187" s="1" t="s">
        <v>9</v>
      </c>
      <c r="E187" s="1">
        <v>18</v>
      </c>
      <c r="F187" s="3">
        <v>113236</v>
      </c>
      <c r="G187" s="3">
        <v>2038248</v>
      </c>
      <c r="H187" s="1" t="str">
        <f t="shared" si="4"/>
        <v>High</v>
      </c>
      <c r="I187" s="1" t="str">
        <f t="shared" si="5"/>
        <v>Laptop</v>
      </c>
    </row>
    <row r="188" spans="1:9" ht="13.2" x14ac:dyDescent="0.25">
      <c r="A188" s="1">
        <v>187</v>
      </c>
      <c r="B188" s="1" t="s">
        <v>5</v>
      </c>
      <c r="C188" s="1" t="s">
        <v>10</v>
      </c>
      <c r="D188" s="1" t="s">
        <v>14</v>
      </c>
      <c r="E188" s="1">
        <v>2</v>
      </c>
      <c r="F188" s="3">
        <v>206243</v>
      </c>
      <c r="G188" s="3">
        <v>412486</v>
      </c>
      <c r="H188" s="1" t="str">
        <f t="shared" si="4"/>
        <v>Low</v>
      </c>
      <c r="I188" s="1" t="str">
        <f t="shared" si="5"/>
        <v>Laptop</v>
      </c>
    </row>
    <row r="189" spans="1:9" ht="13.2" x14ac:dyDescent="0.25">
      <c r="A189" s="1">
        <v>188</v>
      </c>
      <c r="B189" s="1" t="s">
        <v>11</v>
      </c>
      <c r="C189" s="1" t="s">
        <v>19</v>
      </c>
      <c r="D189" s="1" t="s">
        <v>7</v>
      </c>
      <c r="E189" s="1">
        <v>9</v>
      </c>
      <c r="F189" s="3">
        <v>67083</v>
      </c>
      <c r="G189" s="3">
        <v>603747</v>
      </c>
      <c r="H189" s="1" t="str">
        <f t="shared" si="4"/>
        <v>Low</v>
      </c>
      <c r="I189" s="1" t="str">
        <f t="shared" si="5"/>
        <v>Phone</v>
      </c>
    </row>
    <row r="190" spans="1:9" ht="13.2" x14ac:dyDescent="0.25">
      <c r="A190" s="1">
        <v>189</v>
      </c>
      <c r="B190" s="1" t="s">
        <v>16</v>
      </c>
      <c r="C190" s="1" t="s">
        <v>18</v>
      </c>
      <c r="D190" s="1" t="s">
        <v>21</v>
      </c>
      <c r="E190" s="1">
        <v>10</v>
      </c>
      <c r="F190" s="3">
        <v>59063</v>
      </c>
      <c r="G190" s="3">
        <v>590630</v>
      </c>
      <c r="H190" s="1" t="str">
        <f t="shared" si="4"/>
        <v>Low</v>
      </c>
      <c r="I190" s="1" t="str">
        <f t="shared" si="5"/>
        <v>Tablet</v>
      </c>
    </row>
    <row r="191" spans="1:9" ht="13.2" x14ac:dyDescent="0.25">
      <c r="A191" s="1">
        <v>190</v>
      </c>
      <c r="B191" s="1" t="s">
        <v>16</v>
      </c>
      <c r="C191" s="1" t="s">
        <v>17</v>
      </c>
      <c r="D191" s="1" t="s">
        <v>7</v>
      </c>
      <c r="E191" s="1">
        <v>17</v>
      </c>
      <c r="F191" s="3">
        <v>52808</v>
      </c>
      <c r="G191" s="3">
        <v>897736</v>
      </c>
      <c r="H191" s="1" t="str">
        <f t="shared" si="4"/>
        <v>Low</v>
      </c>
      <c r="I191" s="1" t="str">
        <f t="shared" si="5"/>
        <v>Tablet</v>
      </c>
    </row>
    <row r="192" spans="1:9" ht="13.2" x14ac:dyDescent="0.25">
      <c r="A192" s="1">
        <v>191</v>
      </c>
      <c r="B192" s="1" t="s">
        <v>11</v>
      </c>
      <c r="C192" s="1" t="s">
        <v>12</v>
      </c>
      <c r="D192" s="1" t="s">
        <v>13</v>
      </c>
      <c r="E192" s="1">
        <v>7</v>
      </c>
      <c r="F192" s="3">
        <v>83752</v>
      </c>
      <c r="G192" s="3">
        <v>586264</v>
      </c>
      <c r="H192" s="1" t="str">
        <f t="shared" si="4"/>
        <v>Low</v>
      </c>
      <c r="I192" s="1" t="str">
        <f t="shared" si="5"/>
        <v>Phone</v>
      </c>
    </row>
    <row r="193" spans="1:9" ht="13.2" x14ac:dyDescent="0.25">
      <c r="A193" s="1">
        <v>192</v>
      </c>
      <c r="B193" s="1" t="s">
        <v>16</v>
      </c>
      <c r="C193" s="1" t="s">
        <v>20</v>
      </c>
      <c r="D193" s="1" t="s">
        <v>7</v>
      </c>
      <c r="E193" s="1">
        <v>13</v>
      </c>
      <c r="F193" s="3">
        <v>56458</v>
      </c>
      <c r="G193" s="3">
        <v>733954</v>
      </c>
      <c r="H193" s="1" t="str">
        <f t="shared" si="4"/>
        <v>Low</v>
      </c>
      <c r="I193" s="1" t="str">
        <f t="shared" si="5"/>
        <v>Tablet</v>
      </c>
    </row>
    <row r="194" spans="1:9" ht="13.2" x14ac:dyDescent="0.25">
      <c r="A194" s="1">
        <v>193</v>
      </c>
      <c r="B194" s="1" t="s">
        <v>11</v>
      </c>
      <c r="C194" s="1" t="s">
        <v>19</v>
      </c>
      <c r="D194" s="1" t="s">
        <v>21</v>
      </c>
      <c r="E194" s="1">
        <v>4</v>
      </c>
      <c r="F194" s="3">
        <v>117384</v>
      </c>
      <c r="G194" s="3">
        <v>469536</v>
      </c>
      <c r="H194" s="1" t="str">
        <f t="shared" ref="H194:H257" si="6">IF(G194&gt;1000000,"High","Low")</f>
        <v>Low</v>
      </c>
      <c r="I194" s="1" t="str">
        <f t="shared" ref="I194:I257" si="7">IF(B194="MacBook","Laptop",
   IF(B194="iPhone","Phone",
   IF(B194="iPad","Tablet","Other")))</f>
        <v>Phone</v>
      </c>
    </row>
    <row r="195" spans="1:9" ht="13.2" x14ac:dyDescent="0.25">
      <c r="A195" s="1">
        <v>194</v>
      </c>
      <c r="B195" s="1" t="s">
        <v>11</v>
      </c>
      <c r="C195" s="1" t="s">
        <v>12</v>
      </c>
      <c r="D195" s="1" t="s">
        <v>7</v>
      </c>
      <c r="E195" s="1">
        <v>6</v>
      </c>
      <c r="F195" s="3">
        <v>72875</v>
      </c>
      <c r="G195" s="3">
        <v>437250</v>
      </c>
      <c r="H195" s="1" t="str">
        <f t="shared" si="6"/>
        <v>Low</v>
      </c>
      <c r="I195" s="1" t="str">
        <f t="shared" si="7"/>
        <v>Phone</v>
      </c>
    </row>
    <row r="196" spans="1:9" ht="13.2" x14ac:dyDescent="0.25">
      <c r="A196" s="1">
        <v>195</v>
      </c>
      <c r="B196" s="1" t="s">
        <v>16</v>
      </c>
      <c r="C196" s="1" t="s">
        <v>18</v>
      </c>
      <c r="D196" s="1" t="s">
        <v>7</v>
      </c>
      <c r="E196" s="1">
        <v>6</v>
      </c>
      <c r="F196" s="3">
        <v>44263</v>
      </c>
      <c r="G196" s="3">
        <v>265578</v>
      </c>
      <c r="H196" s="1" t="str">
        <f t="shared" si="6"/>
        <v>Low</v>
      </c>
      <c r="I196" s="1" t="str">
        <f t="shared" si="7"/>
        <v>Tablet</v>
      </c>
    </row>
    <row r="197" spans="1:9" ht="13.2" x14ac:dyDescent="0.25">
      <c r="A197" s="1">
        <v>196</v>
      </c>
      <c r="B197" s="1" t="s">
        <v>11</v>
      </c>
      <c r="C197" s="1" t="s">
        <v>12</v>
      </c>
      <c r="D197" s="1" t="s">
        <v>13</v>
      </c>
      <c r="E197" s="1">
        <v>14</v>
      </c>
      <c r="F197" s="3">
        <v>80609</v>
      </c>
      <c r="G197" s="3">
        <v>1128526</v>
      </c>
      <c r="H197" s="1" t="str">
        <f t="shared" si="6"/>
        <v>High</v>
      </c>
      <c r="I197" s="1" t="str">
        <f t="shared" si="7"/>
        <v>Phone</v>
      </c>
    </row>
    <row r="198" spans="1:9" ht="13.2" x14ac:dyDescent="0.25">
      <c r="A198" s="1">
        <v>197</v>
      </c>
      <c r="B198" s="1" t="s">
        <v>11</v>
      </c>
      <c r="C198" s="1" t="s">
        <v>15</v>
      </c>
      <c r="D198" s="1" t="s">
        <v>14</v>
      </c>
      <c r="E198" s="1">
        <v>4</v>
      </c>
      <c r="F198" s="3">
        <v>81874</v>
      </c>
      <c r="G198" s="3">
        <v>327496</v>
      </c>
      <c r="H198" s="1" t="str">
        <f t="shared" si="6"/>
        <v>Low</v>
      </c>
      <c r="I198" s="1" t="str">
        <f t="shared" si="7"/>
        <v>Phone</v>
      </c>
    </row>
    <row r="199" spans="1:9" ht="13.2" x14ac:dyDescent="0.25">
      <c r="A199" s="1">
        <v>198</v>
      </c>
      <c r="B199" s="1" t="s">
        <v>5</v>
      </c>
      <c r="C199" s="1" t="s">
        <v>8</v>
      </c>
      <c r="D199" s="1" t="s">
        <v>13</v>
      </c>
      <c r="E199" s="1">
        <v>4</v>
      </c>
      <c r="F199" s="3">
        <v>101046</v>
      </c>
      <c r="G199" s="3">
        <v>404184</v>
      </c>
      <c r="H199" s="1" t="str">
        <f t="shared" si="6"/>
        <v>Low</v>
      </c>
      <c r="I199" s="1" t="str">
        <f t="shared" si="7"/>
        <v>Laptop</v>
      </c>
    </row>
    <row r="200" spans="1:9" ht="13.2" x14ac:dyDescent="0.25">
      <c r="A200" s="1">
        <v>199</v>
      </c>
      <c r="B200" s="1" t="s">
        <v>16</v>
      </c>
      <c r="C200" s="1" t="s">
        <v>20</v>
      </c>
      <c r="D200" s="1" t="s">
        <v>21</v>
      </c>
      <c r="E200" s="1">
        <v>15</v>
      </c>
      <c r="F200" s="3">
        <v>44853</v>
      </c>
      <c r="G200" s="3">
        <v>672795</v>
      </c>
      <c r="H200" s="1" t="str">
        <f t="shared" si="6"/>
        <v>Low</v>
      </c>
      <c r="I200" s="1" t="str">
        <f t="shared" si="7"/>
        <v>Tablet</v>
      </c>
    </row>
    <row r="201" spans="1:9" ht="13.2" x14ac:dyDescent="0.25">
      <c r="A201" s="1">
        <v>200</v>
      </c>
      <c r="B201" s="1" t="s">
        <v>16</v>
      </c>
      <c r="C201" s="1" t="s">
        <v>17</v>
      </c>
      <c r="D201" s="1" t="s">
        <v>21</v>
      </c>
      <c r="E201" s="1">
        <v>19</v>
      </c>
      <c r="F201" s="3">
        <v>71987</v>
      </c>
      <c r="G201" s="3">
        <v>1367753</v>
      </c>
      <c r="H201" s="1" t="str">
        <f t="shared" si="6"/>
        <v>High</v>
      </c>
      <c r="I201" s="1" t="str">
        <f t="shared" si="7"/>
        <v>Tablet</v>
      </c>
    </row>
    <row r="202" spans="1:9" ht="13.2" x14ac:dyDescent="0.25">
      <c r="A202" s="1">
        <v>201</v>
      </c>
      <c r="B202" s="1" t="s">
        <v>16</v>
      </c>
      <c r="C202" s="1" t="s">
        <v>17</v>
      </c>
      <c r="D202" s="1" t="s">
        <v>21</v>
      </c>
      <c r="E202" s="1">
        <v>13</v>
      </c>
      <c r="F202" s="3">
        <v>40481</v>
      </c>
      <c r="G202" s="3">
        <v>526253</v>
      </c>
      <c r="H202" s="1" t="str">
        <f t="shared" si="6"/>
        <v>Low</v>
      </c>
      <c r="I202" s="1" t="str">
        <f t="shared" si="7"/>
        <v>Tablet</v>
      </c>
    </row>
    <row r="203" spans="1:9" ht="13.2" x14ac:dyDescent="0.25">
      <c r="A203" s="1">
        <v>202</v>
      </c>
      <c r="B203" s="1" t="s">
        <v>11</v>
      </c>
      <c r="C203" s="1" t="s">
        <v>12</v>
      </c>
      <c r="D203" s="1" t="s">
        <v>7</v>
      </c>
      <c r="E203" s="1">
        <v>1</v>
      </c>
      <c r="F203" s="3">
        <v>94008</v>
      </c>
      <c r="G203" s="3">
        <v>94008</v>
      </c>
      <c r="H203" s="1" t="str">
        <f t="shared" si="6"/>
        <v>Low</v>
      </c>
      <c r="I203" s="1" t="str">
        <f t="shared" si="7"/>
        <v>Phone</v>
      </c>
    </row>
    <row r="204" spans="1:9" ht="13.2" x14ac:dyDescent="0.25">
      <c r="A204" s="1">
        <v>203</v>
      </c>
      <c r="B204" s="1" t="s">
        <v>11</v>
      </c>
      <c r="C204" s="1" t="s">
        <v>15</v>
      </c>
      <c r="D204" s="1" t="s">
        <v>9</v>
      </c>
      <c r="E204" s="1">
        <v>3</v>
      </c>
      <c r="F204" s="3">
        <v>105186</v>
      </c>
      <c r="G204" s="3">
        <v>315558</v>
      </c>
      <c r="H204" s="1" t="str">
        <f t="shared" si="6"/>
        <v>Low</v>
      </c>
      <c r="I204" s="1" t="str">
        <f t="shared" si="7"/>
        <v>Phone</v>
      </c>
    </row>
    <row r="205" spans="1:9" ht="13.2" x14ac:dyDescent="0.25">
      <c r="A205" s="1">
        <v>204</v>
      </c>
      <c r="B205" s="1" t="s">
        <v>5</v>
      </c>
      <c r="C205" s="1" t="s">
        <v>10</v>
      </c>
      <c r="D205" s="1" t="s">
        <v>14</v>
      </c>
      <c r="E205" s="1">
        <v>6</v>
      </c>
      <c r="F205" s="3">
        <v>141474</v>
      </c>
      <c r="G205" s="3">
        <v>848844</v>
      </c>
      <c r="H205" s="1" t="str">
        <f t="shared" si="6"/>
        <v>Low</v>
      </c>
      <c r="I205" s="1" t="str">
        <f t="shared" si="7"/>
        <v>Laptop</v>
      </c>
    </row>
    <row r="206" spans="1:9" ht="13.2" x14ac:dyDescent="0.25">
      <c r="A206" s="1">
        <v>205</v>
      </c>
      <c r="B206" s="1" t="s">
        <v>5</v>
      </c>
      <c r="C206" s="1" t="s">
        <v>8</v>
      </c>
      <c r="D206" s="1" t="s">
        <v>21</v>
      </c>
      <c r="E206" s="1">
        <v>17</v>
      </c>
      <c r="F206" s="3">
        <v>126408</v>
      </c>
      <c r="G206" s="3">
        <v>2148936</v>
      </c>
      <c r="H206" s="1" t="str">
        <f t="shared" si="6"/>
        <v>High</v>
      </c>
      <c r="I206" s="1" t="str">
        <f t="shared" si="7"/>
        <v>Laptop</v>
      </c>
    </row>
    <row r="207" spans="1:9" ht="13.2" x14ac:dyDescent="0.25">
      <c r="A207" s="1">
        <v>206</v>
      </c>
      <c r="B207" s="1" t="s">
        <v>5</v>
      </c>
      <c r="C207" s="1" t="s">
        <v>10</v>
      </c>
      <c r="D207" s="1" t="s">
        <v>14</v>
      </c>
      <c r="E207" s="1">
        <v>16</v>
      </c>
      <c r="F207" s="3">
        <v>233326</v>
      </c>
      <c r="G207" s="3">
        <v>3733216</v>
      </c>
      <c r="H207" s="1" t="str">
        <f t="shared" si="6"/>
        <v>High</v>
      </c>
      <c r="I207" s="1" t="str">
        <f t="shared" si="7"/>
        <v>Laptop</v>
      </c>
    </row>
    <row r="208" spans="1:9" ht="13.2" x14ac:dyDescent="0.25">
      <c r="A208" s="1">
        <v>207</v>
      </c>
      <c r="B208" s="1" t="s">
        <v>11</v>
      </c>
      <c r="C208" s="1" t="s">
        <v>15</v>
      </c>
      <c r="D208" s="1" t="s">
        <v>21</v>
      </c>
      <c r="E208" s="1">
        <v>5</v>
      </c>
      <c r="F208" s="3">
        <v>62421</v>
      </c>
      <c r="G208" s="3">
        <v>312105</v>
      </c>
      <c r="H208" s="1" t="str">
        <f t="shared" si="6"/>
        <v>Low</v>
      </c>
      <c r="I208" s="1" t="str">
        <f t="shared" si="7"/>
        <v>Phone</v>
      </c>
    </row>
    <row r="209" spans="1:9" ht="13.2" x14ac:dyDescent="0.25">
      <c r="A209" s="1">
        <v>208</v>
      </c>
      <c r="B209" s="1" t="s">
        <v>16</v>
      </c>
      <c r="C209" s="1" t="s">
        <v>18</v>
      </c>
      <c r="D209" s="1" t="s">
        <v>14</v>
      </c>
      <c r="E209" s="1">
        <v>12</v>
      </c>
      <c r="F209" s="3">
        <v>93145</v>
      </c>
      <c r="G209" s="3">
        <v>1117740</v>
      </c>
      <c r="H209" s="1" t="str">
        <f t="shared" si="6"/>
        <v>High</v>
      </c>
      <c r="I209" s="1" t="str">
        <f t="shared" si="7"/>
        <v>Tablet</v>
      </c>
    </row>
    <row r="210" spans="1:9" ht="13.2" x14ac:dyDescent="0.25">
      <c r="A210" s="1">
        <v>209</v>
      </c>
      <c r="B210" s="1" t="s">
        <v>16</v>
      </c>
      <c r="C210" s="1" t="s">
        <v>17</v>
      </c>
      <c r="D210" s="1" t="s">
        <v>7</v>
      </c>
      <c r="E210" s="1">
        <v>10</v>
      </c>
      <c r="F210" s="3">
        <v>44806</v>
      </c>
      <c r="G210" s="3">
        <v>448060</v>
      </c>
      <c r="H210" s="1" t="str">
        <f t="shared" si="6"/>
        <v>Low</v>
      </c>
      <c r="I210" s="1" t="str">
        <f t="shared" si="7"/>
        <v>Tablet</v>
      </c>
    </row>
    <row r="211" spans="1:9" ht="13.2" x14ac:dyDescent="0.25">
      <c r="A211" s="1">
        <v>210</v>
      </c>
      <c r="B211" s="1" t="s">
        <v>11</v>
      </c>
      <c r="C211" s="1" t="s">
        <v>19</v>
      </c>
      <c r="D211" s="1" t="s">
        <v>21</v>
      </c>
      <c r="E211" s="1">
        <v>7</v>
      </c>
      <c r="F211" s="3">
        <v>104813</v>
      </c>
      <c r="G211" s="3">
        <v>733691</v>
      </c>
      <c r="H211" s="1" t="str">
        <f t="shared" si="6"/>
        <v>Low</v>
      </c>
      <c r="I211" s="1" t="str">
        <f t="shared" si="7"/>
        <v>Phone</v>
      </c>
    </row>
    <row r="212" spans="1:9" ht="13.2" x14ac:dyDescent="0.25">
      <c r="A212" s="1">
        <v>211</v>
      </c>
      <c r="B212" s="1" t="s">
        <v>5</v>
      </c>
      <c r="C212" s="1" t="s">
        <v>10</v>
      </c>
      <c r="D212" s="1" t="s">
        <v>13</v>
      </c>
      <c r="E212" s="1">
        <v>18</v>
      </c>
      <c r="F212" s="3">
        <v>141571</v>
      </c>
      <c r="G212" s="3">
        <v>2548278</v>
      </c>
      <c r="H212" s="1" t="str">
        <f t="shared" si="6"/>
        <v>High</v>
      </c>
      <c r="I212" s="1" t="str">
        <f t="shared" si="7"/>
        <v>Laptop</v>
      </c>
    </row>
    <row r="213" spans="1:9" ht="13.2" x14ac:dyDescent="0.25">
      <c r="A213" s="1">
        <v>212</v>
      </c>
      <c r="B213" s="1" t="s">
        <v>16</v>
      </c>
      <c r="C213" s="1" t="s">
        <v>17</v>
      </c>
      <c r="D213" s="1" t="s">
        <v>13</v>
      </c>
      <c r="E213" s="1">
        <v>10</v>
      </c>
      <c r="F213" s="3">
        <v>61776</v>
      </c>
      <c r="G213" s="3">
        <v>617760</v>
      </c>
      <c r="H213" s="1" t="str">
        <f t="shared" si="6"/>
        <v>Low</v>
      </c>
      <c r="I213" s="1" t="str">
        <f t="shared" si="7"/>
        <v>Tablet</v>
      </c>
    </row>
    <row r="214" spans="1:9" ht="13.2" x14ac:dyDescent="0.25">
      <c r="A214" s="1">
        <v>213</v>
      </c>
      <c r="B214" s="1" t="s">
        <v>11</v>
      </c>
      <c r="C214" s="1" t="s">
        <v>19</v>
      </c>
      <c r="D214" s="1" t="s">
        <v>9</v>
      </c>
      <c r="E214" s="1">
        <v>3</v>
      </c>
      <c r="F214" s="3">
        <v>89866</v>
      </c>
      <c r="G214" s="3">
        <v>269598</v>
      </c>
      <c r="H214" s="1" t="str">
        <f t="shared" si="6"/>
        <v>Low</v>
      </c>
      <c r="I214" s="1" t="str">
        <f t="shared" si="7"/>
        <v>Phone</v>
      </c>
    </row>
    <row r="215" spans="1:9" ht="13.2" x14ac:dyDescent="0.25">
      <c r="A215" s="1">
        <v>214</v>
      </c>
      <c r="B215" s="1" t="s">
        <v>5</v>
      </c>
      <c r="C215" s="1" t="s">
        <v>8</v>
      </c>
      <c r="D215" s="1" t="s">
        <v>21</v>
      </c>
      <c r="E215" s="1">
        <v>17</v>
      </c>
      <c r="F215" s="3">
        <v>236389</v>
      </c>
      <c r="G215" s="3">
        <v>4018613</v>
      </c>
      <c r="H215" s="1" t="str">
        <f t="shared" si="6"/>
        <v>High</v>
      </c>
      <c r="I215" s="1" t="str">
        <f t="shared" si="7"/>
        <v>Laptop</v>
      </c>
    </row>
    <row r="216" spans="1:9" ht="13.2" x14ac:dyDescent="0.25">
      <c r="A216" s="1">
        <v>215</v>
      </c>
      <c r="B216" s="1" t="s">
        <v>11</v>
      </c>
      <c r="C216" s="1" t="s">
        <v>19</v>
      </c>
      <c r="D216" s="1" t="s">
        <v>9</v>
      </c>
      <c r="E216" s="1">
        <v>1</v>
      </c>
      <c r="F216" s="3">
        <v>88687</v>
      </c>
      <c r="G216" s="3">
        <v>88687</v>
      </c>
      <c r="H216" s="1" t="str">
        <f t="shared" si="6"/>
        <v>Low</v>
      </c>
      <c r="I216" s="1" t="str">
        <f t="shared" si="7"/>
        <v>Phone</v>
      </c>
    </row>
    <row r="217" spans="1:9" ht="13.2" x14ac:dyDescent="0.25">
      <c r="A217" s="1">
        <v>216</v>
      </c>
      <c r="B217" s="1" t="s">
        <v>16</v>
      </c>
      <c r="C217" s="1" t="s">
        <v>20</v>
      </c>
      <c r="D217" s="1" t="s">
        <v>13</v>
      </c>
      <c r="E217" s="1">
        <v>3</v>
      </c>
      <c r="F217" s="3">
        <v>40545</v>
      </c>
      <c r="G217" s="3">
        <v>121635</v>
      </c>
      <c r="H217" s="1" t="str">
        <f t="shared" si="6"/>
        <v>Low</v>
      </c>
      <c r="I217" s="1" t="str">
        <f t="shared" si="7"/>
        <v>Tablet</v>
      </c>
    </row>
    <row r="218" spans="1:9" ht="13.2" x14ac:dyDescent="0.25">
      <c r="A218" s="1">
        <v>217</v>
      </c>
      <c r="B218" s="1" t="s">
        <v>5</v>
      </c>
      <c r="C218" s="1" t="s">
        <v>6</v>
      </c>
      <c r="D218" s="1" t="s">
        <v>13</v>
      </c>
      <c r="E218" s="1">
        <v>13</v>
      </c>
      <c r="F218" s="3">
        <v>234991</v>
      </c>
      <c r="G218" s="3">
        <v>3054883</v>
      </c>
      <c r="H218" s="1" t="str">
        <f t="shared" si="6"/>
        <v>High</v>
      </c>
      <c r="I218" s="1" t="str">
        <f t="shared" si="7"/>
        <v>Laptop</v>
      </c>
    </row>
    <row r="219" spans="1:9" ht="13.2" x14ac:dyDescent="0.25">
      <c r="A219" s="1">
        <v>218</v>
      </c>
      <c r="B219" s="1" t="s">
        <v>5</v>
      </c>
      <c r="C219" s="1" t="s">
        <v>8</v>
      </c>
      <c r="D219" s="1" t="s">
        <v>14</v>
      </c>
      <c r="E219" s="1">
        <v>14</v>
      </c>
      <c r="F219" s="3">
        <v>151916</v>
      </c>
      <c r="G219" s="3">
        <v>2126824</v>
      </c>
      <c r="H219" s="1" t="str">
        <f t="shared" si="6"/>
        <v>High</v>
      </c>
      <c r="I219" s="1" t="str">
        <f t="shared" si="7"/>
        <v>Laptop</v>
      </c>
    </row>
    <row r="220" spans="1:9" ht="13.2" x14ac:dyDescent="0.25">
      <c r="A220" s="1">
        <v>219</v>
      </c>
      <c r="B220" s="1" t="s">
        <v>11</v>
      </c>
      <c r="C220" s="1" t="s">
        <v>15</v>
      </c>
      <c r="D220" s="1" t="s">
        <v>9</v>
      </c>
      <c r="E220" s="1">
        <v>10</v>
      </c>
      <c r="F220" s="3">
        <v>99837</v>
      </c>
      <c r="G220" s="3">
        <v>998370</v>
      </c>
      <c r="H220" s="1" t="str">
        <f t="shared" si="6"/>
        <v>Low</v>
      </c>
      <c r="I220" s="1" t="str">
        <f t="shared" si="7"/>
        <v>Phone</v>
      </c>
    </row>
    <row r="221" spans="1:9" ht="13.2" x14ac:dyDescent="0.25">
      <c r="A221" s="1">
        <v>220</v>
      </c>
      <c r="B221" s="1" t="s">
        <v>11</v>
      </c>
      <c r="C221" s="1" t="s">
        <v>12</v>
      </c>
      <c r="D221" s="1" t="s">
        <v>7</v>
      </c>
      <c r="E221" s="1">
        <v>17</v>
      </c>
      <c r="F221" s="3">
        <v>62050</v>
      </c>
      <c r="G221" s="3">
        <v>1054850</v>
      </c>
      <c r="H221" s="1" t="str">
        <f t="shared" si="6"/>
        <v>High</v>
      </c>
      <c r="I221" s="1" t="str">
        <f t="shared" si="7"/>
        <v>Phone</v>
      </c>
    </row>
    <row r="222" spans="1:9" ht="13.2" x14ac:dyDescent="0.25">
      <c r="A222" s="1">
        <v>221</v>
      </c>
      <c r="B222" s="1" t="s">
        <v>16</v>
      </c>
      <c r="C222" s="1" t="s">
        <v>20</v>
      </c>
      <c r="D222" s="1" t="s">
        <v>21</v>
      </c>
      <c r="E222" s="1">
        <v>5</v>
      </c>
      <c r="F222" s="3">
        <v>97775</v>
      </c>
      <c r="G222" s="3">
        <v>488875</v>
      </c>
      <c r="H222" s="1" t="str">
        <f t="shared" si="6"/>
        <v>Low</v>
      </c>
      <c r="I222" s="1" t="str">
        <f t="shared" si="7"/>
        <v>Tablet</v>
      </c>
    </row>
    <row r="223" spans="1:9" ht="13.2" x14ac:dyDescent="0.25">
      <c r="A223" s="1">
        <v>222</v>
      </c>
      <c r="B223" s="1" t="s">
        <v>11</v>
      </c>
      <c r="C223" s="1" t="s">
        <v>15</v>
      </c>
      <c r="D223" s="1" t="s">
        <v>13</v>
      </c>
      <c r="E223" s="1">
        <v>5</v>
      </c>
      <c r="F223" s="3">
        <v>119452</v>
      </c>
      <c r="G223" s="3">
        <v>597260</v>
      </c>
      <c r="H223" s="1" t="str">
        <f t="shared" si="6"/>
        <v>Low</v>
      </c>
      <c r="I223" s="1" t="str">
        <f t="shared" si="7"/>
        <v>Phone</v>
      </c>
    </row>
    <row r="224" spans="1:9" ht="13.2" x14ac:dyDescent="0.25">
      <c r="A224" s="1">
        <v>223</v>
      </c>
      <c r="B224" s="1" t="s">
        <v>16</v>
      </c>
      <c r="C224" s="1" t="s">
        <v>18</v>
      </c>
      <c r="D224" s="1" t="s">
        <v>9</v>
      </c>
      <c r="E224" s="1">
        <v>2</v>
      </c>
      <c r="F224" s="3">
        <v>64262</v>
      </c>
      <c r="G224" s="3">
        <v>128524</v>
      </c>
      <c r="H224" s="1" t="str">
        <f t="shared" si="6"/>
        <v>Low</v>
      </c>
      <c r="I224" s="1" t="str">
        <f t="shared" si="7"/>
        <v>Tablet</v>
      </c>
    </row>
    <row r="225" spans="1:9" ht="13.2" x14ac:dyDescent="0.25">
      <c r="A225" s="1">
        <v>224</v>
      </c>
      <c r="B225" s="1" t="s">
        <v>5</v>
      </c>
      <c r="C225" s="1" t="s">
        <v>6</v>
      </c>
      <c r="D225" s="1" t="s">
        <v>13</v>
      </c>
      <c r="E225" s="1">
        <v>19</v>
      </c>
      <c r="F225" s="3">
        <v>167129</v>
      </c>
      <c r="G225" s="3">
        <v>3175451</v>
      </c>
      <c r="H225" s="1" t="str">
        <f t="shared" si="6"/>
        <v>High</v>
      </c>
      <c r="I225" s="1" t="str">
        <f t="shared" si="7"/>
        <v>Laptop</v>
      </c>
    </row>
    <row r="226" spans="1:9" ht="13.2" x14ac:dyDescent="0.25">
      <c r="A226" s="1">
        <v>225</v>
      </c>
      <c r="B226" s="1" t="s">
        <v>16</v>
      </c>
      <c r="C226" s="1" t="s">
        <v>18</v>
      </c>
      <c r="D226" s="1" t="s">
        <v>14</v>
      </c>
      <c r="E226" s="1">
        <v>9</v>
      </c>
      <c r="F226" s="3">
        <v>83513</v>
      </c>
      <c r="G226" s="3">
        <v>751617</v>
      </c>
      <c r="H226" s="1" t="str">
        <f t="shared" si="6"/>
        <v>Low</v>
      </c>
      <c r="I226" s="1" t="str">
        <f t="shared" si="7"/>
        <v>Tablet</v>
      </c>
    </row>
    <row r="227" spans="1:9" ht="13.2" x14ac:dyDescent="0.25">
      <c r="A227" s="1">
        <v>226</v>
      </c>
      <c r="B227" s="1" t="s">
        <v>11</v>
      </c>
      <c r="C227" s="1" t="s">
        <v>19</v>
      </c>
      <c r="D227" s="1" t="s">
        <v>13</v>
      </c>
      <c r="E227" s="1">
        <v>15</v>
      </c>
      <c r="F227" s="3">
        <v>60726</v>
      </c>
      <c r="G227" s="3">
        <v>910890</v>
      </c>
      <c r="H227" s="1" t="str">
        <f t="shared" si="6"/>
        <v>Low</v>
      </c>
      <c r="I227" s="1" t="str">
        <f t="shared" si="7"/>
        <v>Phone</v>
      </c>
    </row>
    <row r="228" spans="1:9" ht="13.2" x14ac:dyDescent="0.25">
      <c r="A228" s="1">
        <v>227</v>
      </c>
      <c r="B228" s="1" t="s">
        <v>16</v>
      </c>
      <c r="C228" s="1" t="s">
        <v>18</v>
      </c>
      <c r="D228" s="1" t="s">
        <v>21</v>
      </c>
      <c r="E228" s="1">
        <v>10</v>
      </c>
      <c r="F228" s="3">
        <v>65425</v>
      </c>
      <c r="G228" s="3">
        <v>654250</v>
      </c>
      <c r="H228" s="1" t="str">
        <f t="shared" si="6"/>
        <v>Low</v>
      </c>
      <c r="I228" s="1" t="str">
        <f t="shared" si="7"/>
        <v>Tablet</v>
      </c>
    </row>
    <row r="229" spans="1:9" ht="13.2" x14ac:dyDescent="0.25">
      <c r="A229" s="1">
        <v>228</v>
      </c>
      <c r="B229" s="1" t="s">
        <v>5</v>
      </c>
      <c r="C229" s="1" t="s">
        <v>8</v>
      </c>
      <c r="D229" s="1" t="s">
        <v>21</v>
      </c>
      <c r="E229" s="1">
        <v>6</v>
      </c>
      <c r="F229" s="3">
        <v>123660</v>
      </c>
      <c r="G229" s="3">
        <v>741960</v>
      </c>
      <c r="H229" s="1" t="str">
        <f t="shared" si="6"/>
        <v>Low</v>
      </c>
      <c r="I229" s="1" t="str">
        <f t="shared" si="7"/>
        <v>Laptop</v>
      </c>
    </row>
    <row r="230" spans="1:9" ht="13.2" x14ac:dyDescent="0.25">
      <c r="A230" s="1">
        <v>229</v>
      </c>
      <c r="B230" s="1" t="s">
        <v>11</v>
      </c>
      <c r="C230" s="1" t="s">
        <v>19</v>
      </c>
      <c r="D230" s="1" t="s">
        <v>13</v>
      </c>
      <c r="E230" s="1">
        <v>5</v>
      </c>
      <c r="F230" s="3">
        <v>104641</v>
      </c>
      <c r="G230" s="3">
        <v>523205</v>
      </c>
      <c r="H230" s="1" t="str">
        <f t="shared" si="6"/>
        <v>Low</v>
      </c>
      <c r="I230" s="1" t="str">
        <f t="shared" si="7"/>
        <v>Phone</v>
      </c>
    </row>
    <row r="231" spans="1:9" ht="13.2" x14ac:dyDescent="0.25">
      <c r="A231" s="1">
        <v>230</v>
      </c>
      <c r="B231" s="1" t="s">
        <v>5</v>
      </c>
      <c r="C231" s="1" t="s">
        <v>6</v>
      </c>
      <c r="D231" s="1" t="s">
        <v>9</v>
      </c>
      <c r="E231" s="1">
        <v>9</v>
      </c>
      <c r="F231" s="3">
        <v>178801</v>
      </c>
      <c r="G231" s="3">
        <v>1609209</v>
      </c>
      <c r="H231" s="1" t="str">
        <f t="shared" si="6"/>
        <v>High</v>
      </c>
      <c r="I231" s="1" t="str">
        <f t="shared" si="7"/>
        <v>Laptop</v>
      </c>
    </row>
    <row r="232" spans="1:9" ht="13.2" x14ac:dyDescent="0.25">
      <c r="A232" s="1">
        <v>231</v>
      </c>
      <c r="B232" s="1" t="s">
        <v>16</v>
      </c>
      <c r="C232" s="1" t="s">
        <v>18</v>
      </c>
      <c r="D232" s="1" t="s">
        <v>7</v>
      </c>
      <c r="E232" s="1">
        <v>15</v>
      </c>
      <c r="F232" s="3">
        <v>98762</v>
      </c>
      <c r="G232" s="3">
        <v>1481430</v>
      </c>
      <c r="H232" s="1" t="str">
        <f t="shared" si="6"/>
        <v>High</v>
      </c>
      <c r="I232" s="1" t="str">
        <f t="shared" si="7"/>
        <v>Tablet</v>
      </c>
    </row>
    <row r="233" spans="1:9" ht="13.2" x14ac:dyDescent="0.25">
      <c r="A233" s="1">
        <v>232</v>
      </c>
      <c r="B233" s="1" t="s">
        <v>5</v>
      </c>
      <c r="C233" s="1" t="s">
        <v>10</v>
      </c>
      <c r="D233" s="1" t="s">
        <v>7</v>
      </c>
      <c r="E233" s="1">
        <v>8</v>
      </c>
      <c r="F233" s="3">
        <v>160831</v>
      </c>
      <c r="G233" s="3">
        <v>1286648</v>
      </c>
      <c r="H233" s="1" t="str">
        <f t="shared" si="6"/>
        <v>High</v>
      </c>
      <c r="I233" s="1" t="str">
        <f t="shared" si="7"/>
        <v>Laptop</v>
      </c>
    </row>
    <row r="234" spans="1:9" ht="13.2" x14ac:dyDescent="0.25">
      <c r="A234" s="1">
        <v>233</v>
      </c>
      <c r="B234" s="1" t="s">
        <v>16</v>
      </c>
      <c r="C234" s="1" t="s">
        <v>20</v>
      </c>
      <c r="D234" s="1" t="s">
        <v>14</v>
      </c>
      <c r="E234" s="1">
        <v>5</v>
      </c>
      <c r="F234" s="3">
        <v>43020</v>
      </c>
      <c r="G234" s="3">
        <v>215100</v>
      </c>
      <c r="H234" s="1" t="str">
        <f t="shared" si="6"/>
        <v>Low</v>
      </c>
      <c r="I234" s="1" t="str">
        <f t="shared" si="7"/>
        <v>Tablet</v>
      </c>
    </row>
    <row r="235" spans="1:9" ht="13.2" x14ac:dyDescent="0.25">
      <c r="A235" s="1">
        <v>234</v>
      </c>
      <c r="B235" s="1" t="s">
        <v>11</v>
      </c>
      <c r="C235" s="1" t="s">
        <v>12</v>
      </c>
      <c r="D235" s="1" t="s">
        <v>14</v>
      </c>
      <c r="E235" s="1">
        <v>18</v>
      </c>
      <c r="F235" s="3">
        <v>69516</v>
      </c>
      <c r="G235" s="3">
        <v>1251288</v>
      </c>
      <c r="H235" s="1" t="str">
        <f t="shared" si="6"/>
        <v>High</v>
      </c>
      <c r="I235" s="1" t="str">
        <f t="shared" si="7"/>
        <v>Phone</v>
      </c>
    </row>
    <row r="236" spans="1:9" ht="13.2" x14ac:dyDescent="0.25">
      <c r="A236" s="1">
        <v>235</v>
      </c>
      <c r="B236" s="1" t="s">
        <v>5</v>
      </c>
      <c r="C236" s="1" t="s">
        <v>10</v>
      </c>
      <c r="D236" s="1" t="s">
        <v>13</v>
      </c>
      <c r="E236" s="1">
        <v>3</v>
      </c>
      <c r="F236" s="3">
        <v>161719</v>
      </c>
      <c r="G236" s="3">
        <v>485157</v>
      </c>
      <c r="H236" s="1" t="str">
        <f t="shared" si="6"/>
        <v>Low</v>
      </c>
      <c r="I236" s="1" t="str">
        <f t="shared" si="7"/>
        <v>Laptop</v>
      </c>
    </row>
    <row r="237" spans="1:9" ht="13.2" x14ac:dyDescent="0.25">
      <c r="A237" s="1">
        <v>236</v>
      </c>
      <c r="B237" s="1" t="s">
        <v>11</v>
      </c>
      <c r="C237" s="1" t="s">
        <v>12</v>
      </c>
      <c r="D237" s="1" t="s">
        <v>9</v>
      </c>
      <c r="E237" s="1">
        <v>1</v>
      </c>
      <c r="F237" s="3">
        <v>118629</v>
      </c>
      <c r="G237" s="3">
        <v>118629</v>
      </c>
      <c r="H237" s="1" t="str">
        <f t="shared" si="6"/>
        <v>Low</v>
      </c>
      <c r="I237" s="1" t="str">
        <f t="shared" si="7"/>
        <v>Phone</v>
      </c>
    </row>
    <row r="238" spans="1:9" ht="13.2" x14ac:dyDescent="0.25">
      <c r="A238" s="1">
        <v>237</v>
      </c>
      <c r="B238" s="1" t="s">
        <v>11</v>
      </c>
      <c r="C238" s="1" t="s">
        <v>15</v>
      </c>
      <c r="D238" s="1" t="s">
        <v>14</v>
      </c>
      <c r="E238" s="1">
        <v>16</v>
      </c>
      <c r="F238" s="3">
        <v>78088</v>
      </c>
      <c r="G238" s="3">
        <v>1249408</v>
      </c>
      <c r="H238" s="1" t="str">
        <f t="shared" si="6"/>
        <v>High</v>
      </c>
      <c r="I238" s="1" t="str">
        <f t="shared" si="7"/>
        <v>Phone</v>
      </c>
    </row>
    <row r="239" spans="1:9" ht="13.2" x14ac:dyDescent="0.25">
      <c r="A239" s="1">
        <v>238</v>
      </c>
      <c r="B239" s="1" t="s">
        <v>16</v>
      </c>
      <c r="C239" s="1" t="s">
        <v>17</v>
      </c>
      <c r="D239" s="1" t="s">
        <v>14</v>
      </c>
      <c r="E239" s="1">
        <v>6</v>
      </c>
      <c r="F239" s="3">
        <v>62534</v>
      </c>
      <c r="G239" s="3">
        <v>375204</v>
      </c>
      <c r="H239" s="1" t="str">
        <f t="shared" si="6"/>
        <v>Low</v>
      </c>
      <c r="I239" s="1" t="str">
        <f t="shared" si="7"/>
        <v>Tablet</v>
      </c>
    </row>
    <row r="240" spans="1:9" ht="13.2" x14ac:dyDescent="0.25">
      <c r="A240" s="1">
        <v>239</v>
      </c>
      <c r="B240" s="1" t="s">
        <v>16</v>
      </c>
      <c r="C240" s="1" t="s">
        <v>18</v>
      </c>
      <c r="D240" s="1" t="s">
        <v>7</v>
      </c>
      <c r="E240" s="1">
        <v>19</v>
      </c>
      <c r="F240" s="3">
        <v>87638</v>
      </c>
      <c r="G240" s="3">
        <v>1665122</v>
      </c>
      <c r="H240" s="1" t="str">
        <f t="shared" si="6"/>
        <v>High</v>
      </c>
      <c r="I240" s="1" t="str">
        <f t="shared" si="7"/>
        <v>Tablet</v>
      </c>
    </row>
    <row r="241" spans="1:9" ht="13.2" x14ac:dyDescent="0.25">
      <c r="A241" s="1">
        <v>240</v>
      </c>
      <c r="B241" s="1" t="s">
        <v>5</v>
      </c>
      <c r="C241" s="1" t="s">
        <v>6</v>
      </c>
      <c r="D241" s="1" t="s">
        <v>7</v>
      </c>
      <c r="E241" s="1">
        <v>7</v>
      </c>
      <c r="F241" s="3">
        <v>239859</v>
      </c>
      <c r="G241" s="3">
        <v>1679013</v>
      </c>
      <c r="H241" s="1" t="str">
        <f t="shared" si="6"/>
        <v>High</v>
      </c>
      <c r="I241" s="1" t="str">
        <f t="shared" si="7"/>
        <v>Laptop</v>
      </c>
    </row>
    <row r="242" spans="1:9" ht="13.2" x14ac:dyDescent="0.25">
      <c r="A242" s="1">
        <v>241</v>
      </c>
      <c r="B242" s="1" t="s">
        <v>16</v>
      </c>
      <c r="C242" s="1" t="s">
        <v>18</v>
      </c>
      <c r="D242" s="1" t="s">
        <v>21</v>
      </c>
      <c r="E242" s="1">
        <v>12</v>
      </c>
      <c r="F242" s="3">
        <v>50177</v>
      </c>
      <c r="G242" s="3">
        <v>602124</v>
      </c>
      <c r="H242" s="1" t="str">
        <f t="shared" si="6"/>
        <v>Low</v>
      </c>
      <c r="I242" s="1" t="str">
        <f t="shared" si="7"/>
        <v>Tablet</v>
      </c>
    </row>
    <row r="243" spans="1:9" ht="13.2" x14ac:dyDescent="0.25">
      <c r="A243" s="1">
        <v>242</v>
      </c>
      <c r="B243" s="1" t="s">
        <v>11</v>
      </c>
      <c r="C243" s="1" t="s">
        <v>12</v>
      </c>
      <c r="D243" s="1" t="s">
        <v>14</v>
      </c>
      <c r="E243" s="1">
        <v>8</v>
      </c>
      <c r="F243" s="3">
        <v>91966</v>
      </c>
      <c r="G243" s="3">
        <v>735728</v>
      </c>
      <c r="H243" s="1" t="str">
        <f t="shared" si="6"/>
        <v>Low</v>
      </c>
      <c r="I243" s="1" t="str">
        <f t="shared" si="7"/>
        <v>Phone</v>
      </c>
    </row>
    <row r="244" spans="1:9" ht="13.2" x14ac:dyDescent="0.25">
      <c r="A244" s="1">
        <v>243</v>
      </c>
      <c r="B244" s="1" t="s">
        <v>5</v>
      </c>
      <c r="C244" s="1" t="s">
        <v>10</v>
      </c>
      <c r="D244" s="1" t="s">
        <v>21</v>
      </c>
      <c r="E244" s="1">
        <v>19</v>
      </c>
      <c r="F244" s="3">
        <v>119257</v>
      </c>
      <c r="G244" s="3">
        <v>2265883</v>
      </c>
      <c r="H244" s="1" t="str">
        <f t="shared" si="6"/>
        <v>High</v>
      </c>
      <c r="I244" s="1" t="str">
        <f t="shared" si="7"/>
        <v>Laptop</v>
      </c>
    </row>
    <row r="245" spans="1:9" ht="13.2" x14ac:dyDescent="0.25">
      <c r="A245" s="1">
        <v>244</v>
      </c>
      <c r="B245" s="1" t="s">
        <v>16</v>
      </c>
      <c r="C245" s="1" t="s">
        <v>17</v>
      </c>
      <c r="D245" s="1" t="s">
        <v>9</v>
      </c>
      <c r="E245" s="1">
        <v>15</v>
      </c>
      <c r="F245" s="3">
        <v>66660</v>
      </c>
      <c r="G245" s="3">
        <v>999900</v>
      </c>
      <c r="H245" s="1" t="str">
        <f t="shared" si="6"/>
        <v>Low</v>
      </c>
      <c r="I245" s="1" t="str">
        <f t="shared" si="7"/>
        <v>Tablet</v>
      </c>
    </row>
    <row r="246" spans="1:9" ht="13.2" x14ac:dyDescent="0.25">
      <c r="A246" s="1">
        <v>245</v>
      </c>
      <c r="B246" s="1" t="s">
        <v>16</v>
      </c>
      <c r="C246" s="1" t="s">
        <v>17</v>
      </c>
      <c r="D246" s="1" t="s">
        <v>7</v>
      </c>
      <c r="E246" s="1">
        <v>17</v>
      </c>
      <c r="F246" s="3">
        <v>98261</v>
      </c>
      <c r="G246" s="3">
        <v>1670437</v>
      </c>
      <c r="H246" s="1" t="str">
        <f t="shared" si="6"/>
        <v>High</v>
      </c>
      <c r="I246" s="1" t="str">
        <f t="shared" si="7"/>
        <v>Tablet</v>
      </c>
    </row>
    <row r="247" spans="1:9" ht="13.2" x14ac:dyDescent="0.25">
      <c r="A247" s="1">
        <v>246</v>
      </c>
      <c r="B247" s="1" t="s">
        <v>16</v>
      </c>
      <c r="C247" s="1" t="s">
        <v>18</v>
      </c>
      <c r="D247" s="1" t="s">
        <v>14</v>
      </c>
      <c r="E247" s="1">
        <v>18</v>
      </c>
      <c r="F247" s="3">
        <v>63821</v>
      </c>
      <c r="G247" s="3">
        <v>1148778</v>
      </c>
      <c r="H247" s="1" t="str">
        <f t="shared" si="6"/>
        <v>High</v>
      </c>
      <c r="I247" s="1" t="str">
        <f t="shared" si="7"/>
        <v>Tablet</v>
      </c>
    </row>
    <row r="248" spans="1:9" ht="13.2" x14ac:dyDescent="0.25">
      <c r="A248" s="1">
        <v>247</v>
      </c>
      <c r="B248" s="1" t="s">
        <v>5</v>
      </c>
      <c r="C248" s="1" t="s">
        <v>8</v>
      </c>
      <c r="D248" s="1" t="s">
        <v>21</v>
      </c>
      <c r="E248" s="1">
        <v>12</v>
      </c>
      <c r="F248" s="3">
        <v>213786</v>
      </c>
      <c r="G248" s="3">
        <v>2565432</v>
      </c>
      <c r="H248" s="1" t="str">
        <f t="shared" si="6"/>
        <v>High</v>
      </c>
      <c r="I248" s="1" t="str">
        <f t="shared" si="7"/>
        <v>Laptop</v>
      </c>
    </row>
    <row r="249" spans="1:9" ht="13.2" x14ac:dyDescent="0.25">
      <c r="A249" s="1">
        <v>248</v>
      </c>
      <c r="B249" s="1" t="s">
        <v>16</v>
      </c>
      <c r="C249" s="1" t="s">
        <v>17</v>
      </c>
      <c r="D249" s="1" t="s">
        <v>7</v>
      </c>
      <c r="E249" s="1">
        <v>15</v>
      </c>
      <c r="F249" s="3">
        <v>67082</v>
      </c>
      <c r="G249" s="3">
        <v>1006230</v>
      </c>
      <c r="H249" s="1" t="str">
        <f t="shared" si="6"/>
        <v>High</v>
      </c>
      <c r="I249" s="1" t="str">
        <f t="shared" si="7"/>
        <v>Tablet</v>
      </c>
    </row>
    <row r="250" spans="1:9" ht="13.2" x14ac:dyDescent="0.25">
      <c r="A250" s="1">
        <v>249</v>
      </c>
      <c r="B250" s="1" t="s">
        <v>16</v>
      </c>
      <c r="C250" s="1" t="s">
        <v>20</v>
      </c>
      <c r="D250" s="1" t="s">
        <v>13</v>
      </c>
      <c r="E250" s="1">
        <v>2</v>
      </c>
      <c r="F250" s="3">
        <v>97859</v>
      </c>
      <c r="G250" s="3">
        <v>195718</v>
      </c>
      <c r="H250" s="1" t="str">
        <f t="shared" si="6"/>
        <v>Low</v>
      </c>
      <c r="I250" s="1" t="str">
        <f t="shared" si="7"/>
        <v>Tablet</v>
      </c>
    </row>
    <row r="251" spans="1:9" ht="13.2" x14ac:dyDescent="0.25">
      <c r="A251" s="1">
        <v>250</v>
      </c>
      <c r="B251" s="1" t="s">
        <v>11</v>
      </c>
      <c r="C251" s="1" t="s">
        <v>12</v>
      </c>
      <c r="D251" s="1" t="s">
        <v>13</v>
      </c>
      <c r="E251" s="1">
        <v>7</v>
      </c>
      <c r="F251" s="3">
        <v>63342</v>
      </c>
      <c r="G251" s="3">
        <v>443394</v>
      </c>
      <c r="H251" s="1" t="str">
        <f t="shared" si="6"/>
        <v>Low</v>
      </c>
      <c r="I251" s="1" t="str">
        <f t="shared" si="7"/>
        <v>Phone</v>
      </c>
    </row>
    <row r="252" spans="1:9" ht="13.2" x14ac:dyDescent="0.25">
      <c r="A252" s="1">
        <v>251</v>
      </c>
      <c r="B252" s="1" t="s">
        <v>16</v>
      </c>
      <c r="C252" s="1" t="s">
        <v>17</v>
      </c>
      <c r="D252" s="1" t="s">
        <v>13</v>
      </c>
      <c r="E252" s="1">
        <v>14</v>
      </c>
      <c r="F252" s="3">
        <v>43093</v>
      </c>
      <c r="G252" s="3">
        <v>603302</v>
      </c>
      <c r="H252" s="1" t="str">
        <f t="shared" si="6"/>
        <v>Low</v>
      </c>
      <c r="I252" s="1" t="str">
        <f t="shared" si="7"/>
        <v>Tablet</v>
      </c>
    </row>
    <row r="253" spans="1:9" ht="13.2" x14ac:dyDescent="0.25">
      <c r="A253" s="1">
        <v>252</v>
      </c>
      <c r="B253" s="1" t="s">
        <v>11</v>
      </c>
      <c r="C253" s="1" t="s">
        <v>19</v>
      </c>
      <c r="D253" s="1" t="s">
        <v>14</v>
      </c>
      <c r="E253" s="1">
        <v>12</v>
      </c>
      <c r="F253" s="3">
        <v>88087</v>
      </c>
      <c r="G253" s="3">
        <v>1057044</v>
      </c>
      <c r="H253" s="1" t="str">
        <f t="shared" si="6"/>
        <v>High</v>
      </c>
      <c r="I253" s="1" t="str">
        <f t="shared" si="7"/>
        <v>Phone</v>
      </c>
    </row>
    <row r="254" spans="1:9" ht="13.2" x14ac:dyDescent="0.25">
      <c r="A254" s="1">
        <v>253</v>
      </c>
      <c r="B254" s="1" t="s">
        <v>5</v>
      </c>
      <c r="C254" s="1" t="s">
        <v>6</v>
      </c>
      <c r="D254" s="1" t="s">
        <v>13</v>
      </c>
      <c r="E254" s="1">
        <v>6</v>
      </c>
      <c r="F254" s="3">
        <v>218386</v>
      </c>
      <c r="G254" s="3">
        <v>1310316</v>
      </c>
      <c r="H254" s="1" t="str">
        <f t="shared" si="6"/>
        <v>High</v>
      </c>
      <c r="I254" s="1" t="str">
        <f t="shared" si="7"/>
        <v>Laptop</v>
      </c>
    </row>
    <row r="255" spans="1:9" ht="13.2" x14ac:dyDescent="0.25">
      <c r="A255" s="1">
        <v>254</v>
      </c>
      <c r="B255" s="1" t="s">
        <v>11</v>
      </c>
      <c r="C255" s="1" t="s">
        <v>19</v>
      </c>
      <c r="D255" s="1" t="s">
        <v>13</v>
      </c>
      <c r="E255" s="1">
        <v>6</v>
      </c>
      <c r="F255" s="3">
        <v>79982</v>
      </c>
      <c r="G255" s="3">
        <v>479892</v>
      </c>
      <c r="H255" s="1" t="str">
        <f t="shared" si="6"/>
        <v>Low</v>
      </c>
      <c r="I255" s="1" t="str">
        <f t="shared" si="7"/>
        <v>Phone</v>
      </c>
    </row>
    <row r="256" spans="1:9" ht="13.2" x14ac:dyDescent="0.25">
      <c r="A256" s="1">
        <v>255</v>
      </c>
      <c r="B256" s="1" t="s">
        <v>11</v>
      </c>
      <c r="C256" s="1" t="s">
        <v>12</v>
      </c>
      <c r="D256" s="1" t="s">
        <v>13</v>
      </c>
      <c r="E256" s="1">
        <v>12</v>
      </c>
      <c r="F256" s="3">
        <v>86385</v>
      </c>
      <c r="G256" s="3">
        <v>1036620</v>
      </c>
      <c r="H256" s="1" t="str">
        <f t="shared" si="6"/>
        <v>High</v>
      </c>
      <c r="I256" s="1" t="str">
        <f t="shared" si="7"/>
        <v>Phone</v>
      </c>
    </row>
    <row r="257" spans="1:9" ht="13.2" x14ac:dyDescent="0.25">
      <c r="A257" s="1">
        <v>256</v>
      </c>
      <c r="B257" s="1" t="s">
        <v>16</v>
      </c>
      <c r="C257" s="1" t="s">
        <v>18</v>
      </c>
      <c r="D257" s="1" t="s">
        <v>13</v>
      </c>
      <c r="E257" s="1">
        <v>17</v>
      </c>
      <c r="F257" s="3">
        <v>43380</v>
      </c>
      <c r="G257" s="3">
        <v>737460</v>
      </c>
      <c r="H257" s="1" t="str">
        <f t="shared" si="6"/>
        <v>Low</v>
      </c>
      <c r="I257" s="1" t="str">
        <f t="shared" si="7"/>
        <v>Tablet</v>
      </c>
    </row>
    <row r="258" spans="1:9" ht="13.2" x14ac:dyDescent="0.25">
      <c r="A258" s="1">
        <v>257</v>
      </c>
      <c r="B258" s="1" t="s">
        <v>16</v>
      </c>
      <c r="C258" s="1" t="s">
        <v>20</v>
      </c>
      <c r="D258" s="1" t="s">
        <v>9</v>
      </c>
      <c r="E258" s="1">
        <v>7</v>
      </c>
      <c r="F258" s="3">
        <v>78827</v>
      </c>
      <c r="G258" s="3">
        <v>551789</v>
      </c>
      <c r="H258" s="1" t="str">
        <f t="shared" ref="H258:H321" si="8">IF(G258&gt;1000000,"High","Low")</f>
        <v>Low</v>
      </c>
      <c r="I258" s="1" t="str">
        <f t="shared" ref="I258:I321" si="9">IF(B258="MacBook","Laptop",
   IF(B258="iPhone","Phone",
   IF(B258="iPad","Tablet","Other")))</f>
        <v>Tablet</v>
      </c>
    </row>
    <row r="259" spans="1:9" ht="13.2" x14ac:dyDescent="0.25">
      <c r="A259" s="1">
        <v>258</v>
      </c>
      <c r="B259" s="1" t="s">
        <v>16</v>
      </c>
      <c r="C259" s="1" t="s">
        <v>17</v>
      </c>
      <c r="D259" s="1" t="s">
        <v>21</v>
      </c>
      <c r="E259" s="1">
        <v>14</v>
      </c>
      <c r="F259" s="3">
        <v>43224</v>
      </c>
      <c r="G259" s="3">
        <v>605136</v>
      </c>
      <c r="H259" s="1" t="str">
        <f t="shared" si="8"/>
        <v>Low</v>
      </c>
      <c r="I259" s="1" t="str">
        <f t="shared" si="9"/>
        <v>Tablet</v>
      </c>
    </row>
    <row r="260" spans="1:9" ht="13.2" x14ac:dyDescent="0.25">
      <c r="A260" s="1">
        <v>259</v>
      </c>
      <c r="B260" s="1" t="s">
        <v>16</v>
      </c>
      <c r="C260" s="1" t="s">
        <v>18</v>
      </c>
      <c r="D260" s="1" t="s">
        <v>14</v>
      </c>
      <c r="E260" s="1">
        <v>6</v>
      </c>
      <c r="F260" s="3">
        <v>96251</v>
      </c>
      <c r="G260" s="3">
        <v>577506</v>
      </c>
      <c r="H260" s="1" t="str">
        <f t="shared" si="8"/>
        <v>Low</v>
      </c>
      <c r="I260" s="1" t="str">
        <f t="shared" si="9"/>
        <v>Tablet</v>
      </c>
    </row>
    <row r="261" spans="1:9" ht="13.2" x14ac:dyDescent="0.25">
      <c r="A261" s="1">
        <v>260</v>
      </c>
      <c r="B261" s="1" t="s">
        <v>11</v>
      </c>
      <c r="C261" s="1" t="s">
        <v>19</v>
      </c>
      <c r="D261" s="1" t="s">
        <v>21</v>
      </c>
      <c r="E261" s="1">
        <v>8</v>
      </c>
      <c r="F261" s="3">
        <v>117738</v>
      </c>
      <c r="G261" s="3">
        <v>941904</v>
      </c>
      <c r="H261" s="1" t="str">
        <f t="shared" si="8"/>
        <v>Low</v>
      </c>
      <c r="I261" s="1" t="str">
        <f t="shared" si="9"/>
        <v>Phone</v>
      </c>
    </row>
    <row r="262" spans="1:9" ht="13.2" x14ac:dyDescent="0.25">
      <c r="A262" s="1">
        <v>261</v>
      </c>
      <c r="B262" s="1" t="s">
        <v>11</v>
      </c>
      <c r="C262" s="1" t="s">
        <v>19</v>
      </c>
      <c r="D262" s="1" t="s">
        <v>13</v>
      </c>
      <c r="E262" s="1">
        <v>18</v>
      </c>
      <c r="F262" s="3">
        <v>77773</v>
      </c>
      <c r="G262" s="3">
        <v>1399914</v>
      </c>
      <c r="H262" s="1" t="str">
        <f t="shared" si="8"/>
        <v>High</v>
      </c>
      <c r="I262" s="1" t="str">
        <f t="shared" si="9"/>
        <v>Phone</v>
      </c>
    </row>
    <row r="263" spans="1:9" ht="13.2" x14ac:dyDescent="0.25">
      <c r="A263" s="1">
        <v>262</v>
      </c>
      <c r="B263" s="1" t="s">
        <v>11</v>
      </c>
      <c r="C263" s="1" t="s">
        <v>12</v>
      </c>
      <c r="D263" s="1" t="s">
        <v>13</v>
      </c>
      <c r="E263" s="1">
        <v>1</v>
      </c>
      <c r="F263" s="3">
        <v>111195</v>
      </c>
      <c r="G263" s="3">
        <v>111195</v>
      </c>
      <c r="H263" s="1" t="str">
        <f t="shared" si="8"/>
        <v>Low</v>
      </c>
      <c r="I263" s="1" t="str">
        <f t="shared" si="9"/>
        <v>Phone</v>
      </c>
    </row>
    <row r="264" spans="1:9" ht="13.2" x14ac:dyDescent="0.25">
      <c r="A264" s="1">
        <v>263</v>
      </c>
      <c r="B264" s="1" t="s">
        <v>16</v>
      </c>
      <c r="C264" s="1" t="s">
        <v>17</v>
      </c>
      <c r="D264" s="1" t="s">
        <v>9</v>
      </c>
      <c r="E264" s="1">
        <v>9</v>
      </c>
      <c r="F264" s="3">
        <v>79499</v>
      </c>
      <c r="G264" s="3">
        <v>715491</v>
      </c>
      <c r="H264" s="1" t="str">
        <f t="shared" si="8"/>
        <v>Low</v>
      </c>
      <c r="I264" s="1" t="str">
        <f t="shared" si="9"/>
        <v>Tablet</v>
      </c>
    </row>
    <row r="265" spans="1:9" ht="13.2" x14ac:dyDescent="0.25">
      <c r="A265" s="1">
        <v>264</v>
      </c>
      <c r="B265" s="1" t="s">
        <v>11</v>
      </c>
      <c r="C265" s="1" t="s">
        <v>19</v>
      </c>
      <c r="D265" s="1" t="s">
        <v>21</v>
      </c>
      <c r="E265" s="1">
        <v>8</v>
      </c>
      <c r="F265" s="3">
        <v>82431</v>
      </c>
      <c r="G265" s="3">
        <v>659448</v>
      </c>
      <c r="H265" s="1" t="str">
        <f t="shared" si="8"/>
        <v>Low</v>
      </c>
      <c r="I265" s="1" t="str">
        <f t="shared" si="9"/>
        <v>Phone</v>
      </c>
    </row>
    <row r="266" spans="1:9" ht="13.2" x14ac:dyDescent="0.25">
      <c r="A266" s="1">
        <v>265</v>
      </c>
      <c r="B266" s="1" t="s">
        <v>11</v>
      </c>
      <c r="C266" s="1" t="s">
        <v>12</v>
      </c>
      <c r="D266" s="1" t="s">
        <v>7</v>
      </c>
      <c r="E266" s="1">
        <v>13</v>
      </c>
      <c r="F266" s="3">
        <v>78333</v>
      </c>
      <c r="G266" s="3">
        <v>1018329</v>
      </c>
      <c r="H266" s="1" t="str">
        <f t="shared" si="8"/>
        <v>High</v>
      </c>
      <c r="I266" s="1" t="str">
        <f t="shared" si="9"/>
        <v>Phone</v>
      </c>
    </row>
    <row r="267" spans="1:9" ht="13.2" x14ac:dyDescent="0.25">
      <c r="A267" s="1">
        <v>266</v>
      </c>
      <c r="B267" s="1" t="s">
        <v>16</v>
      </c>
      <c r="C267" s="1" t="s">
        <v>17</v>
      </c>
      <c r="D267" s="1" t="s">
        <v>7</v>
      </c>
      <c r="E267" s="1">
        <v>2</v>
      </c>
      <c r="F267" s="3">
        <v>63398</v>
      </c>
      <c r="G267" s="3">
        <v>126796</v>
      </c>
      <c r="H267" s="1" t="str">
        <f t="shared" si="8"/>
        <v>Low</v>
      </c>
      <c r="I267" s="1" t="str">
        <f t="shared" si="9"/>
        <v>Tablet</v>
      </c>
    </row>
    <row r="268" spans="1:9" ht="13.2" x14ac:dyDescent="0.25">
      <c r="A268" s="1">
        <v>267</v>
      </c>
      <c r="B268" s="1" t="s">
        <v>16</v>
      </c>
      <c r="C268" s="1" t="s">
        <v>17</v>
      </c>
      <c r="D268" s="1" t="s">
        <v>21</v>
      </c>
      <c r="E268" s="1">
        <v>2</v>
      </c>
      <c r="F268" s="3">
        <v>49078</v>
      </c>
      <c r="G268" s="3">
        <v>98156</v>
      </c>
      <c r="H268" s="1" t="str">
        <f t="shared" si="8"/>
        <v>Low</v>
      </c>
      <c r="I268" s="1" t="str">
        <f t="shared" si="9"/>
        <v>Tablet</v>
      </c>
    </row>
    <row r="269" spans="1:9" ht="13.2" x14ac:dyDescent="0.25">
      <c r="A269" s="1">
        <v>268</v>
      </c>
      <c r="B269" s="1" t="s">
        <v>5</v>
      </c>
      <c r="C269" s="1" t="s">
        <v>6</v>
      </c>
      <c r="D269" s="1" t="s">
        <v>21</v>
      </c>
      <c r="E269" s="1">
        <v>3</v>
      </c>
      <c r="F269" s="3">
        <v>207832</v>
      </c>
      <c r="G269" s="3">
        <v>623496</v>
      </c>
      <c r="H269" s="1" t="str">
        <f t="shared" si="8"/>
        <v>Low</v>
      </c>
      <c r="I269" s="1" t="str">
        <f t="shared" si="9"/>
        <v>Laptop</v>
      </c>
    </row>
    <row r="270" spans="1:9" ht="13.2" x14ac:dyDescent="0.25">
      <c r="A270" s="1">
        <v>269</v>
      </c>
      <c r="B270" s="1" t="s">
        <v>16</v>
      </c>
      <c r="C270" s="1" t="s">
        <v>20</v>
      </c>
      <c r="D270" s="1" t="s">
        <v>13</v>
      </c>
      <c r="E270" s="1">
        <v>15</v>
      </c>
      <c r="F270" s="3">
        <v>75198</v>
      </c>
      <c r="G270" s="3">
        <v>1127970</v>
      </c>
      <c r="H270" s="1" t="str">
        <f t="shared" si="8"/>
        <v>High</v>
      </c>
      <c r="I270" s="1" t="str">
        <f t="shared" si="9"/>
        <v>Tablet</v>
      </c>
    </row>
    <row r="271" spans="1:9" ht="13.2" x14ac:dyDescent="0.25">
      <c r="A271" s="1">
        <v>270</v>
      </c>
      <c r="B271" s="1" t="s">
        <v>16</v>
      </c>
      <c r="C271" s="1" t="s">
        <v>20</v>
      </c>
      <c r="D271" s="1" t="s">
        <v>13</v>
      </c>
      <c r="E271" s="1">
        <v>3</v>
      </c>
      <c r="F271" s="3">
        <v>61288</v>
      </c>
      <c r="G271" s="3">
        <v>183864</v>
      </c>
      <c r="H271" s="1" t="str">
        <f t="shared" si="8"/>
        <v>Low</v>
      </c>
      <c r="I271" s="1" t="str">
        <f t="shared" si="9"/>
        <v>Tablet</v>
      </c>
    </row>
    <row r="272" spans="1:9" ht="13.2" x14ac:dyDescent="0.25">
      <c r="A272" s="1">
        <v>271</v>
      </c>
      <c r="B272" s="1" t="s">
        <v>16</v>
      </c>
      <c r="C272" s="1" t="s">
        <v>20</v>
      </c>
      <c r="D272" s="1" t="s">
        <v>14</v>
      </c>
      <c r="E272" s="1">
        <v>12</v>
      </c>
      <c r="F272" s="3">
        <v>84555</v>
      </c>
      <c r="G272" s="3">
        <v>1014660</v>
      </c>
      <c r="H272" s="1" t="str">
        <f t="shared" si="8"/>
        <v>High</v>
      </c>
      <c r="I272" s="1" t="str">
        <f t="shared" si="9"/>
        <v>Tablet</v>
      </c>
    </row>
    <row r="273" spans="1:9" ht="13.2" x14ac:dyDescent="0.25">
      <c r="A273" s="1">
        <v>272</v>
      </c>
      <c r="B273" s="1" t="s">
        <v>5</v>
      </c>
      <c r="C273" s="1" t="s">
        <v>10</v>
      </c>
      <c r="D273" s="1" t="s">
        <v>14</v>
      </c>
      <c r="E273" s="1">
        <v>19</v>
      </c>
      <c r="F273" s="3">
        <v>160316</v>
      </c>
      <c r="G273" s="3">
        <v>3046004</v>
      </c>
      <c r="H273" s="1" t="str">
        <f t="shared" si="8"/>
        <v>High</v>
      </c>
      <c r="I273" s="1" t="str">
        <f t="shared" si="9"/>
        <v>Laptop</v>
      </c>
    </row>
    <row r="274" spans="1:9" ht="13.2" x14ac:dyDescent="0.25">
      <c r="A274" s="1">
        <v>273</v>
      </c>
      <c r="B274" s="1" t="s">
        <v>5</v>
      </c>
      <c r="C274" s="1" t="s">
        <v>6</v>
      </c>
      <c r="D274" s="1" t="s">
        <v>13</v>
      </c>
      <c r="E274" s="1">
        <v>19</v>
      </c>
      <c r="F274" s="3">
        <v>195361</v>
      </c>
      <c r="G274" s="3">
        <v>3711859</v>
      </c>
      <c r="H274" s="1" t="str">
        <f t="shared" si="8"/>
        <v>High</v>
      </c>
      <c r="I274" s="1" t="str">
        <f t="shared" si="9"/>
        <v>Laptop</v>
      </c>
    </row>
    <row r="275" spans="1:9" ht="13.2" x14ac:dyDescent="0.25">
      <c r="A275" s="1">
        <v>274</v>
      </c>
      <c r="B275" s="1" t="s">
        <v>16</v>
      </c>
      <c r="C275" s="1" t="s">
        <v>18</v>
      </c>
      <c r="D275" s="1" t="s">
        <v>13</v>
      </c>
      <c r="E275" s="1">
        <v>9</v>
      </c>
      <c r="F275" s="3">
        <v>88770</v>
      </c>
      <c r="G275" s="3">
        <v>798930</v>
      </c>
      <c r="H275" s="1" t="str">
        <f t="shared" si="8"/>
        <v>Low</v>
      </c>
      <c r="I275" s="1" t="str">
        <f t="shared" si="9"/>
        <v>Tablet</v>
      </c>
    </row>
    <row r="276" spans="1:9" ht="13.2" x14ac:dyDescent="0.25">
      <c r="A276" s="1">
        <v>275</v>
      </c>
      <c r="B276" s="1" t="s">
        <v>5</v>
      </c>
      <c r="C276" s="1" t="s">
        <v>6</v>
      </c>
      <c r="D276" s="1" t="s">
        <v>7</v>
      </c>
      <c r="E276" s="1">
        <v>15</v>
      </c>
      <c r="F276" s="3">
        <v>202340</v>
      </c>
      <c r="G276" s="3">
        <v>3035100</v>
      </c>
      <c r="H276" s="1" t="str">
        <f t="shared" si="8"/>
        <v>High</v>
      </c>
      <c r="I276" s="1" t="str">
        <f t="shared" si="9"/>
        <v>Laptop</v>
      </c>
    </row>
    <row r="277" spans="1:9" ht="13.2" x14ac:dyDescent="0.25">
      <c r="A277" s="1">
        <v>276</v>
      </c>
      <c r="B277" s="1" t="s">
        <v>11</v>
      </c>
      <c r="C277" s="1" t="s">
        <v>12</v>
      </c>
      <c r="D277" s="1" t="s">
        <v>7</v>
      </c>
      <c r="E277" s="1">
        <v>4</v>
      </c>
      <c r="F277" s="3">
        <v>85963</v>
      </c>
      <c r="G277" s="3">
        <v>343852</v>
      </c>
      <c r="H277" s="1" t="str">
        <f t="shared" si="8"/>
        <v>Low</v>
      </c>
      <c r="I277" s="1" t="str">
        <f t="shared" si="9"/>
        <v>Phone</v>
      </c>
    </row>
    <row r="278" spans="1:9" ht="13.2" x14ac:dyDescent="0.25">
      <c r="A278" s="1">
        <v>277</v>
      </c>
      <c r="B278" s="1" t="s">
        <v>11</v>
      </c>
      <c r="C278" s="1" t="s">
        <v>15</v>
      </c>
      <c r="D278" s="1" t="s">
        <v>9</v>
      </c>
      <c r="E278" s="1">
        <v>9</v>
      </c>
      <c r="F278" s="3">
        <v>66563</v>
      </c>
      <c r="G278" s="3">
        <v>599067</v>
      </c>
      <c r="H278" s="1" t="str">
        <f t="shared" si="8"/>
        <v>Low</v>
      </c>
      <c r="I278" s="1" t="str">
        <f t="shared" si="9"/>
        <v>Phone</v>
      </c>
    </row>
    <row r="279" spans="1:9" ht="13.2" x14ac:dyDescent="0.25">
      <c r="A279" s="1">
        <v>278</v>
      </c>
      <c r="B279" s="1" t="s">
        <v>16</v>
      </c>
      <c r="C279" s="1" t="s">
        <v>17</v>
      </c>
      <c r="D279" s="1" t="s">
        <v>13</v>
      </c>
      <c r="E279" s="1">
        <v>2</v>
      </c>
      <c r="F279" s="3">
        <v>99141</v>
      </c>
      <c r="G279" s="3">
        <v>198282</v>
      </c>
      <c r="H279" s="1" t="str">
        <f t="shared" si="8"/>
        <v>Low</v>
      </c>
      <c r="I279" s="1" t="str">
        <f t="shared" si="9"/>
        <v>Tablet</v>
      </c>
    </row>
    <row r="280" spans="1:9" ht="13.2" x14ac:dyDescent="0.25">
      <c r="A280" s="1">
        <v>279</v>
      </c>
      <c r="B280" s="1" t="s">
        <v>5</v>
      </c>
      <c r="C280" s="1" t="s">
        <v>10</v>
      </c>
      <c r="D280" s="1" t="s">
        <v>14</v>
      </c>
      <c r="E280" s="1">
        <v>12</v>
      </c>
      <c r="F280" s="3">
        <v>216503</v>
      </c>
      <c r="G280" s="3">
        <v>2598036</v>
      </c>
      <c r="H280" s="1" t="str">
        <f t="shared" si="8"/>
        <v>High</v>
      </c>
      <c r="I280" s="1" t="str">
        <f t="shared" si="9"/>
        <v>Laptop</v>
      </c>
    </row>
    <row r="281" spans="1:9" ht="13.2" x14ac:dyDescent="0.25">
      <c r="A281" s="1">
        <v>280</v>
      </c>
      <c r="B281" s="1" t="s">
        <v>5</v>
      </c>
      <c r="C281" s="1" t="s">
        <v>6</v>
      </c>
      <c r="D281" s="1" t="s">
        <v>7</v>
      </c>
      <c r="E281" s="1">
        <v>3</v>
      </c>
      <c r="F281" s="3">
        <v>244351</v>
      </c>
      <c r="G281" s="3">
        <v>733053</v>
      </c>
      <c r="H281" s="1" t="str">
        <f t="shared" si="8"/>
        <v>Low</v>
      </c>
      <c r="I281" s="1" t="str">
        <f t="shared" si="9"/>
        <v>Laptop</v>
      </c>
    </row>
    <row r="282" spans="1:9" ht="13.2" x14ac:dyDescent="0.25">
      <c r="A282" s="1">
        <v>281</v>
      </c>
      <c r="B282" s="1" t="s">
        <v>16</v>
      </c>
      <c r="C282" s="1" t="s">
        <v>20</v>
      </c>
      <c r="D282" s="1" t="s">
        <v>14</v>
      </c>
      <c r="E282" s="1">
        <v>2</v>
      </c>
      <c r="F282" s="3">
        <v>66916</v>
      </c>
      <c r="G282" s="3">
        <v>133832</v>
      </c>
      <c r="H282" s="1" t="str">
        <f t="shared" si="8"/>
        <v>Low</v>
      </c>
      <c r="I282" s="1" t="str">
        <f t="shared" si="9"/>
        <v>Tablet</v>
      </c>
    </row>
    <row r="283" spans="1:9" ht="13.2" x14ac:dyDescent="0.25">
      <c r="A283" s="1">
        <v>282</v>
      </c>
      <c r="B283" s="1" t="s">
        <v>11</v>
      </c>
      <c r="C283" s="1" t="s">
        <v>19</v>
      </c>
      <c r="D283" s="1" t="s">
        <v>21</v>
      </c>
      <c r="E283" s="1">
        <v>15</v>
      </c>
      <c r="F283" s="3">
        <v>92781</v>
      </c>
      <c r="G283" s="3">
        <v>1391715</v>
      </c>
      <c r="H283" s="1" t="str">
        <f t="shared" si="8"/>
        <v>High</v>
      </c>
      <c r="I283" s="1" t="str">
        <f t="shared" si="9"/>
        <v>Phone</v>
      </c>
    </row>
    <row r="284" spans="1:9" ht="13.2" x14ac:dyDescent="0.25">
      <c r="A284" s="1">
        <v>283</v>
      </c>
      <c r="B284" s="1" t="s">
        <v>16</v>
      </c>
      <c r="C284" s="1" t="s">
        <v>17</v>
      </c>
      <c r="D284" s="1" t="s">
        <v>13</v>
      </c>
      <c r="E284" s="1">
        <v>6</v>
      </c>
      <c r="F284" s="3">
        <v>66616</v>
      </c>
      <c r="G284" s="3">
        <v>399696</v>
      </c>
      <c r="H284" s="1" t="str">
        <f t="shared" si="8"/>
        <v>Low</v>
      </c>
      <c r="I284" s="1" t="str">
        <f t="shared" si="9"/>
        <v>Tablet</v>
      </c>
    </row>
    <row r="285" spans="1:9" ht="13.2" x14ac:dyDescent="0.25">
      <c r="A285" s="1">
        <v>284</v>
      </c>
      <c r="B285" s="1" t="s">
        <v>11</v>
      </c>
      <c r="C285" s="1" t="s">
        <v>12</v>
      </c>
      <c r="D285" s="1" t="s">
        <v>9</v>
      </c>
      <c r="E285" s="1">
        <v>1</v>
      </c>
      <c r="F285" s="3">
        <v>81927</v>
      </c>
      <c r="G285" s="3">
        <v>81927</v>
      </c>
      <c r="H285" s="1" t="str">
        <f t="shared" si="8"/>
        <v>Low</v>
      </c>
      <c r="I285" s="1" t="str">
        <f t="shared" si="9"/>
        <v>Phone</v>
      </c>
    </row>
    <row r="286" spans="1:9" ht="13.2" x14ac:dyDescent="0.25">
      <c r="A286" s="1">
        <v>285</v>
      </c>
      <c r="B286" s="1" t="s">
        <v>11</v>
      </c>
      <c r="C286" s="1" t="s">
        <v>15</v>
      </c>
      <c r="D286" s="1" t="s">
        <v>7</v>
      </c>
      <c r="E286" s="1">
        <v>15</v>
      </c>
      <c r="F286" s="3">
        <v>99198</v>
      </c>
      <c r="G286" s="3">
        <v>1487970</v>
      </c>
      <c r="H286" s="1" t="str">
        <f t="shared" si="8"/>
        <v>High</v>
      </c>
      <c r="I286" s="1" t="str">
        <f t="shared" si="9"/>
        <v>Phone</v>
      </c>
    </row>
    <row r="287" spans="1:9" ht="13.2" x14ac:dyDescent="0.25">
      <c r="A287" s="1">
        <v>286</v>
      </c>
      <c r="B287" s="1" t="s">
        <v>11</v>
      </c>
      <c r="C287" s="1" t="s">
        <v>19</v>
      </c>
      <c r="D287" s="1" t="s">
        <v>9</v>
      </c>
      <c r="E287" s="1">
        <v>12</v>
      </c>
      <c r="F287" s="3">
        <v>105917</v>
      </c>
      <c r="G287" s="3">
        <v>1271004</v>
      </c>
      <c r="H287" s="1" t="str">
        <f t="shared" si="8"/>
        <v>High</v>
      </c>
      <c r="I287" s="1" t="str">
        <f t="shared" si="9"/>
        <v>Phone</v>
      </c>
    </row>
    <row r="288" spans="1:9" ht="13.2" x14ac:dyDescent="0.25">
      <c r="A288" s="1">
        <v>287</v>
      </c>
      <c r="B288" s="1" t="s">
        <v>5</v>
      </c>
      <c r="C288" s="1" t="s">
        <v>6</v>
      </c>
      <c r="D288" s="1" t="s">
        <v>14</v>
      </c>
      <c r="E288" s="1">
        <v>11</v>
      </c>
      <c r="F288" s="3">
        <v>105563</v>
      </c>
      <c r="G288" s="3">
        <v>1161193</v>
      </c>
      <c r="H288" s="1" t="str">
        <f t="shared" si="8"/>
        <v>High</v>
      </c>
      <c r="I288" s="1" t="str">
        <f t="shared" si="9"/>
        <v>Laptop</v>
      </c>
    </row>
    <row r="289" spans="1:9" ht="13.2" x14ac:dyDescent="0.25">
      <c r="A289" s="1">
        <v>288</v>
      </c>
      <c r="B289" s="1" t="s">
        <v>11</v>
      </c>
      <c r="C289" s="1" t="s">
        <v>12</v>
      </c>
      <c r="D289" s="1" t="s">
        <v>9</v>
      </c>
      <c r="E289" s="1">
        <v>12</v>
      </c>
      <c r="F289" s="3">
        <v>74135</v>
      </c>
      <c r="G289" s="3">
        <v>889620</v>
      </c>
      <c r="H289" s="1" t="str">
        <f t="shared" si="8"/>
        <v>Low</v>
      </c>
      <c r="I289" s="1" t="str">
        <f t="shared" si="9"/>
        <v>Phone</v>
      </c>
    </row>
    <row r="290" spans="1:9" ht="13.2" x14ac:dyDescent="0.25">
      <c r="A290" s="1">
        <v>289</v>
      </c>
      <c r="B290" s="1" t="s">
        <v>5</v>
      </c>
      <c r="C290" s="1" t="s">
        <v>6</v>
      </c>
      <c r="D290" s="1" t="s">
        <v>7</v>
      </c>
      <c r="E290" s="1">
        <v>18</v>
      </c>
      <c r="F290" s="3">
        <v>181155</v>
      </c>
      <c r="G290" s="3">
        <v>3260790</v>
      </c>
      <c r="H290" s="1" t="str">
        <f t="shared" si="8"/>
        <v>High</v>
      </c>
      <c r="I290" s="1" t="str">
        <f t="shared" si="9"/>
        <v>Laptop</v>
      </c>
    </row>
    <row r="291" spans="1:9" ht="13.2" x14ac:dyDescent="0.25">
      <c r="A291" s="1">
        <v>290</v>
      </c>
      <c r="B291" s="1" t="s">
        <v>11</v>
      </c>
      <c r="C291" s="1" t="s">
        <v>12</v>
      </c>
      <c r="D291" s="1" t="s">
        <v>13</v>
      </c>
      <c r="E291" s="1">
        <v>3</v>
      </c>
      <c r="F291" s="3">
        <v>80677</v>
      </c>
      <c r="G291" s="3">
        <v>242031</v>
      </c>
      <c r="H291" s="1" t="str">
        <f t="shared" si="8"/>
        <v>Low</v>
      </c>
      <c r="I291" s="1" t="str">
        <f t="shared" si="9"/>
        <v>Phone</v>
      </c>
    </row>
    <row r="292" spans="1:9" ht="13.2" x14ac:dyDescent="0.25">
      <c r="A292" s="1">
        <v>291</v>
      </c>
      <c r="B292" s="1" t="s">
        <v>11</v>
      </c>
      <c r="C292" s="1" t="s">
        <v>12</v>
      </c>
      <c r="D292" s="1" t="s">
        <v>9</v>
      </c>
      <c r="E292" s="1">
        <v>17</v>
      </c>
      <c r="F292" s="3">
        <v>93997</v>
      </c>
      <c r="G292" s="3">
        <v>1597949</v>
      </c>
      <c r="H292" s="1" t="str">
        <f t="shared" si="8"/>
        <v>High</v>
      </c>
      <c r="I292" s="1" t="str">
        <f t="shared" si="9"/>
        <v>Phone</v>
      </c>
    </row>
    <row r="293" spans="1:9" ht="13.2" x14ac:dyDescent="0.25">
      <c r="A293" s="1">
        <v>292</v>
      </c>
      <c r="B293" s="1" t="s">
        <v>11</v>
      </c>
      <c r="C293" s="1" t="s">
        <v>19</v>
      </c>
      <c r="D293" s="1" t="s">
        <v>14</v>
      </c>
      <c r="E293" s="1">
        <v>11</v>
      </c>
      <c r="F293" s="3">
        <v>60125</v>
      </c>
      <c r="G293" s="3">
        <v>661375</v>
      </c>
      <c r="H293" s="1" t="str">
        <f t="shared" si="8"/>
        <v>Low</v>
      </c>
      <c r="I293" s="1" t="str">
        <f t="shared" si="9"/>
        <v>Phone</v>
      </c>
    </row>
    <row r="294" spans="1:9" ht="13.2" x14ac:dyDescent="0.25">
      <c r="A294" s="1">
        <v>293</v>
      </c>
      <c r="B294" s="1" t="s">
        <v>11</v>
      </c>
      <c r="C294" s="1" t="s">
        <v>15</v>
      </c>
      <c r="D294" s="1" t="s">
        <v>9</v>
      </c>
      <c r="E294" s="1">
        <v>15</v>
      </c>
      <c r="F294" s="3">
        <v>66570</v>
      </c>
      <c r="G294" s="3">
        <v>998550</v>
      </c>
      <c r="H294" s="1" t="str">
        <f t="shared" si="8"/>
        <v>Low</v>
      </c>
      <c r="I294" s="1" t="str">
        <f t="shared" si="9"/>
        <v>Phone</v>
      </c>
    </row>
    <row r="295" spans="1:9" ht="13.2" x14ac:dyDescent="0.25">
      <c r="A295" s="1">
        <v>294</v>
      </c>
      <c r="B295" s="1" t="s">
        <v>16</v>
      </c>
      <c r="C295" s="1" t="s">
        <v>17</v>
      </c>
      <c r="D295" s="1" t="s">
        <v>9</v>
      </c>
      <c r="E295" s="1">
        <v>13</v>
      </c>
      <c r="F295" s="3">
        <v>41969</v>
      </c>
      <c r="G295" s="3">
        <v>545597</v>
      </c>
      <c r="H295" s="1" t="str">
        <f t="shared" si="8"/>
        <v>Low</v>
      </c>
      <c r="I295" s="1" t="str">
        <f t="shared" si="9"/>
        <v>Tablet</v>
      </c>
    </row>
    <row r="296" spans="1:9" ht="13.2" x14ac:dyDescent="0.25">
      <c r="A296" s="1">
        <v>295</v>
      </c>
      <c r="B296" s="1" t="s">
        <v>5</v>
      </c>
      <c r="C296" s="1" t="s">
        <v>10</v>
      </c>
      <c r="D296" s="1" t="s">
        <v>14</v>
      </c>
      <c r="E296" s="1">
        <v>1</v>
      </c>
      <c r="F296" s="3">
        <v>244268</v>
      </c>
      <c r="G296" s="3">
        <v>244268</v>
      </c>
      <c r="H296" s="1" t="str">
        <f t="shared" si="8"/>
        <v>Low</v>
      </c>
      <c r="I296" s="1" t="str">
        <f t="shared" si="9"/>
        <v>Laptop</v>
      </c>
    </row>
    <row r="297" spans="1:9" ht="13.2" x14ac:dyDescent="0.25">
      <c r="A297" s="1">
        <v>296</v>
      </c>
      <c r="B297" s="1" t="s">
        <v>5</v>
      </c>
      <c r="C297" s="1" t="s">
        <v>10</v>
      </c>
      <c r="D297" s="1" t="s">
        <v>13</v>
      </c>
      <c r="E297" s="1">
        <v>15</v>
      </c>
      <c r="F297" s="3">
        <v>236649</v>
      </c>
      <c r="G297" s="3">
        <v>3549735</v>
      </c>
      <c r="H297" s="1" t="str">
        <f t="shared" si="8"/>
        <v>High</v>
      </c>
      <c r="I297" s="1" t="str">
        <f t="shared" si="9"/>
        <v>Laptop</v>
      </c>
    </row>
    <row r="298" spans="1:9" ht="13.2" x14ac:dyDescent="0.25">
      <c r="A298" s="1">
        <v>297</v>
      </c>
      <c r="B298" s="1" t="s">
        <v>16</v>
      </c>
      <c r="C298" s="1" t="s">
        <v>20</v>
      </c>
      <c r="D298" s="1" t="s">
        <v>21</v>
      </c>
      <c r="E298" s="1">
        <v>18</v>
      </c>
      <c r="F298" s="3">
        <v>55504</v>
      </c>
      <c r="G298" s="3">
        <v>999072</v>
      </c>
      <c r="H298" s="1" t="str">
        <f t="shared" si="8"/>
        <v>Low</v>
      </c>
      <c r="I298" s="1" t="str">
        <f t="shared" si="9"/>
        <v>Tablet</v>
      </c>
    </row>
    <row r="299" spans="1:9" ht="13.2" x14ac:dyDescent="0.25">
      <c r="A299" s="1">
        <v>298</v>
      </c>
      <c r="B299" s="1" t="s">
        <v>5</v>
      </c>
      <c r="C299" s="1" t="s">
        <v>6</v>
      </c>
      <c r="D299" s="1" t="s">
        <v>14</v>
      </c>
      <c r="E299" s="1">
        <v>14</v>
      </c>
      <c r="F299" s="3">
        <v>169134</v>
      </c>
      <c r="G299" s="3">
        <v>2367876</v>
      </c>
      <c r="H299" s="1" t="str">
        <f t="shared" si="8"/>
        <v>High</v>
      </c>
      <c r="I299" s="1" t="str">
        <f t="shared" si="9"/>
        <v>Laptop</v>
      </c>
    </row>
    <row r="300" spans="1:9" ht="13.2" x14ac:dyDescent="0.25">
      <c r="A300" s="1">
        <v>299</v>
      </c>
      <c r="B300" s="1" t="s">
        <v>11</v>
      </c>
      <c r="C300" s="1" t="s">
        <v>12</v>
      </c>
      <c r="D300" s="1" t="s">
        <v>21</v>
      </c>
      <c r="E300" s="1">
        <v>2</v>
      </c>
      <c r="F300" s="3">
        <v>97873</v>
      </c>
      <c r="G300" s="3">
        <v>195746</v>
      </c>
      <c r="H300" s="1" t="str">
        <f t="shared" si="8"/>
        <v>Low</v>
      </c>
      <c r="I300" s="1" t="str">
        <f t="shared" si="9"/>
        <v>Phone</v>
      </c>
    </row>
    <row r="301" spans="1:9" ht="13.2" x14ac:dyDescent="0.25">
      <c r="A301" s="1">
        <v>300</v>
      </c>
      <c r="B301" s="1" t="s">
        <v>11</v>
      </c>
      <c r="C301" s="1" t="s">
        <v>12</v>
      </c>
      <c r="D301" s="1" t="s">
        <v>14</v>
      </c>
      <c r="E301" s="1">
        <v>16</v>
      </c>
      <c r="F301" s="3">
        <v>66924</v>
      </c>
      <c r="G301" s="3">
        <v>1070784</v>
      </c>
      <c r="H301" s="1" t="str">
        <f t="shared" si="8"/>
        <v>High</v>
      </c>
      <c r="I301" s="1" t="str">
        <f t="shared" si="9"/>
        <v>Phone</v>
      </c>
    </row>
    <row r="302" spans="1:9" ht="13.2" x14ac:dyDescent="0.25">
      <c r="A302" s="1">
        <v>301</v>
      </c>
      <c r="B302" s="1" t="s">
        <v>5</v>
      </c>
      <c r="C302" s="1" t="s">
        <v>6</v>
      </c>
      <c r="D302" s="1" t="s">
        <v>9</v>
      </c>
      <c r="E302" s="1">
        <v>11</v>
      </c>
      <c r="F302" s="3">
        <v>119165</v>
      </c>
      <c r="G302" s="3">
        <v>1310815</v>
      </c>
      <c r="H302" s="1" t="str">
        <f t="shared" si="8"/>
        <v>High</v>
      </c>
      <c r="I302" s="1" t="str">
        <f t="shared" si="9"/>
        <v>Laptop</v>
      </c>
    </row>
    <row r="303" spans="1:9" ht="13.2" x14ac:dyDescent="0.25">
      <c r="A303" s="1">
        <v>302</v>
      </c>
      <c r="B303" s="1" t="s">
        <v>16</v>
      </c>
      <c r="C303" s="1" t="s">
        <v>17</v>
      </c>
      <c r="D303" s="1" t="s">
        <v>21</v>
      </c>
      <c r="E303" s="1">
        <v>6</v>
      </c>
      <c r="F303" s="3">
        <v>47761</v>
      </c>
      <c r="G303" s="3">
        <v>286566</v>
      </c>
      <c r="H303" s="1" t="str">
        <f t="shared" si="8"/>
        <v>Low</v>
      </c>
      <c r="I303" s="1" t="str">
        <f t="shared" si="9"/>
        <v>Tablet</v>
      </c>
    </row>
    <row r="304" spans="1:9" ht="13.2" x14ac:dyDescent="0.25">
      <c r="A304" s="1">
        <v>303</v>
      </c>
      <c r="B304" s="1" t="s">
        <v>5</v>
      </c>
      <c r="C304" s="1" t="s">
        <v>8</v>
      </c>
      <c r="D304" s="1" t="s">
        <v>21</v>
      </c>
      <c r="E304" s="1">
        <v>13</v>
      </c>
      <c r="F304" s="3">
        <v>222439</v>
      </c>
      <c r="G304" s="3">
        <v>2891707</v>
      </c>
      <c r="H304" s="1" t="str">
        <f t="shared" si="8"/>
        <v>High</v>
      </c>
      <c r="I304" s="1" t="str">
        <f t="shared" si="9"/>
        <v>Laptop</v>
      </c>
    </row>
    <row r="305" spans="1:9" ht="13.2" x14ac:dyDescent="0.25">
      <c r="A305" s="1">
        <v>304</v>
      </c>
      <c r="B305" s="1" t="s">
        <v>11</v>
      </c>
      <c r="C305" s="1" t="s">
        <v>15</v>
      </c>
      <c r="D305" s="1" t="s">
        <v>14</v>
      </c>
      <c r="E305" s="1">
        <v>1</v>
      </c>
      <c r="F305" s="3">
        <v>87723</v>
      </c>
      <c r="G305" s="3">
        <v>87723</v>
      </c>
      <c r="H305" s="1" t="str">
        <f t="shared" si="8"/>
        <v>Low</v>
      </c>
      <c r="I305" s="1" t="str">
        <f t="shared" si="9"/>
        <v>Phone</v>
      </c>
    </row>
    <row r="306" spans="1:9" ht="13.2" x14ac:dyDescent="0.25">
      <c r="A306" s="1">
        <v>305</v>
      </c>
      <c r="B306" s="1" t="s">
        <v>5</v>
      </c>
      <c r="C306" s="1" t="s">
        <v>6</v>
      </c>
      <c r="D306" s="1" t="s">
        <v>13</v>
      </c>
      <c r="E306" s="1">
        <v>1</v>
      </c>
      <c r="F306" s="3">
        <v>183680</v>
      </c>
      <c r="G306" s="3">
        <v>183680</v>
      </c>
      <c r="H306" s="1" t="str">
        <f t="shared" si="8"/>
        <v>Low</v>
      </c>
      <c r="I306" s="1" t="str">
        <f t="shared" si="9"/>
        <v>Laptop</v>
      </c>
    </row>
    <row r="307" spans="1:9" ht="13.2" x14ac:dyDescent="0.25">
      <c r="A307" s="1">
        <v>306</v>
      </c>
      <c r="B307" s="1" t="s">
        <v>16</v>
      </c>
      <c r="C307" s="1" t="s">
        <v>20</v>
      </c>
      <c r="D307" s="1" t="s">
        <v>21</v>
      </c>
      <c r="E307" s="1">
        <v>11</v>
      </c>
      <c r="F307" s="3">
        <v>51207</v>
      </c>
      <c r="G307" s="3">
        <v>563277</v>
      </c>
      <c r="H307" s="1" t="str">
        <f t="shared" si="8"/>
        <v>Low</v>
      </c>
      <c r="I307" s="1" t="str">
        <f t="shared" si="9"/>
        <v>Tablet</v>
      </c>
    </row>
    <row r="308" spans="1:9" ht="13.2" x14ac:dyDescent="0.25">
      <c r="A308" s="1">
        <v>307</v>
      </c>
      <c r="B308" s="1" t="s">
        <v>5</v>
      </c>
      <c r="C308" s="1" t="s">
        <v>6</v>
      </c>
      <c r="D308" s="1" t="s">
        <v>14</v>
      </c>
      <c r="E308" s="1">
        <v>8</v>
      </c>
      <c r="F308" s="3">
        <v>121348</v>
      </c>
      <c r="G308" s="3">
        <v>970784</v>
      </c>
      <c r="H308" s="1" t="str">
        <f t="shared" si="8"/>
        <v>Low</v>
      </c>
      <c r="I308" s="1" t="str">
        <f t="shared" si="9"/>
        <v>Laptop</v>
      </c>
    </row>
    <row r="309" spans="1:9" ht="13.2" x14ac:dyDescent="0.25">
      <c r="A309" s="1">
        <v>308</v>
      </c>
      <c r="B309" s="1" t="s">
        <v>16</v>
      </c>
      <c r="C309" s="1" t="s">
        <v>18</v>
      </c>
      <c r="D309" s="1" t="s">
        <v>14</v>
      </c>
      <c r="E309" s="1">
        <v>12</v>
      </c>
      <c r="F309" s="3">
        <v>56353</v>
      </c>
      <c r="G309" s="3">
        <v>676236</v>
      </c>
      <c r="H309" s="1" t="str">
        <f t="shared" si="8"/>
        <v>Low</v>
      </c>
      <c r="I309" s="1" t="str">
        <f t="shared" si="9"/>
        <v>Tablet</v>
      </c>
    </row>
    <row r="310" spans="1:9" ht="13.2" x14ac:dyDescent="0.25">
      <c r="A310" s="1">
        <v>309</v>
      </c>
      <c r="B310" s="1" t="s">
        <v>5</v>
      </c>
      <c r="C310" s="1" t="s">
        <v>8</v>
      </c>
      <c r="D310" s="1" t="s">
        <v>13</v>
      </c>
      <c r="E310" s="1">
        <v>11</v>
      </c>
      <c r="F310" s="3">
        <v>248059</v>
      </c>
      <c r="G310" s="3">
        <v>2728649</v>
      </c>
      <c r="H310" s="1" t="str">
        <f t="shared" si="8"/>
        <v>High</v>
      </c>
      <c r="I310" s="1" t="str">
        <f t="shared" si="9"/>
        <v>Laptop</v>
      </c>
    </row>
    <row r="311" spans="1:9" ht="13.2" x14ac:dyDescent="0.25">
      <c r="A311" s="1">
        <v>310</v>
      </c>
      <c r="B311" s="1" t="s">
        <v>5</v>
      </c>
      <c r="C311" s="1" t="s">
        <v>6</v>
      </c>
      <c r="D311" s="1" t="s">
        <v>14</v>
      </c>
      <c r="E311" s="1">
        <v>11</v>
      </c>
      <c r="F311" s="3">
        <v>149182</v>
      </c>
      <c r="G311" s="3">
        <v>1641002</v>
      </c>
      <c r="H311" s="1" t="str">
        <f t="shared" si="8"/>
        <v>High</v>
      </c>
      <c r="I311" s="1" t="str">
        <f t="shared" si="9"/>
        <v>Laptop</v>
      </c>
    </row>
    <row r="312" spans="1:9" ht="13.2" x14ac:dyDescent="0.25">
      <c r="A312" s="1">
        <v>311</v>
      </c>
      <c r="B312" s="1" t="s">
        <v>5</v>
      </c>
      <c r="C312" s="1" t="s">
        <v>6</v>
      </c>
      <c r="D312" s="1" t="s">
        <v>9</v>
      </c>
      <c r="E312" s="1">
        <v>4</v>
      </c>
      <c r="F312" s="3">
        <v>200350</v>
      </c>
      <c r="G312" s="3">
        <v>801400</v>
      </c>
      <c r="H312" s="1" t="str">
        <f t="shared" si="8"/>
        <v>Low</v>
      </c>
      <c r="I312" s="1" t="str">
        <f t="shared" si="9"/>
        <v>Laptop</v>
      </c>
    </row>
    <row r="313" spans="1:9" ht="13.2" x14ac:dyDescent="0.25">
      <c r="A313" s="1">
        <v>312</v>
      </c>
      <c r="B313" s="1" t="s">
        <v>11</v>
      </c>
      <c r="C313" s="1" t="s">
        <v>12</v>
      </c>
      <c r="D313" s="1" t="s">
        <v>9</v>
      </c>
      <c r="E313" s="1">
        <v>19</v>
      </c>
      <c r="F313" s="3">
        <v>106881</v>
      </c>
      <c r="G313" s="3">
        <v>2030739</v>
      </c>
      <c r="H313" s="1" t="str">
        <f t="shared" si="8"/>
        <v>High</v>
      </c>
      <c r="I313" s="1" t="str">
        <f t="shared" si="9"/>
        <v>Phone</v>
      </c>
    </row>
    <row r="314" spans="1:9" ht="13.2" x14ac:dyDescent="0.25">
      <c r="A314" s="1">
        <v>313</v>
      </c>
      <c r="B314" s="1" t="s">
        <v>11</v>
      </c>
      <c r="C314" s="1" t="s">
        <v>19</v>
      </c>
      <c r="D314" s="1" t="s">
        <v>7</v>
      </c>
      <c r="E314" s="1">
        <v>15</v>
      </c>
      <c r="F314" s="3">
        <v>73467</v>
      </c>
      <c r="G314" s="3">
        <v>1102005</v>
      </c>
      <c r="H314" s="1" t="str">
        <f t="shared" si="8"/>
        <v>High</v>
      </c>
      <c r="I314" s="1" t="str">
        <f t="shared" si="9"/>
        <v>Phone</v>
      </c>
    </row>
    <row r="315" spans="1:9" ht="13.2" x14ac:dyDescent="0.25">
      <c r="A315" s="1">
        <v>314</v>
      </c>
      <c r="B315" s="1" t="s">
        <v>16</v>
      </c>
      <c r="C315" s="1" t="s">
        <v>20</v>
      </c>
      <c r="D315" s="1" t="s">
        <v>7</v>
      </c>
      <c r="E315" s="1">
        <v>2</v>
      </c>
      <c r="F315" s="3">
        <v>83596</v>
      </c>
      <c r="G315" s="3">
        <v>167192</v>
      </c>
      <c r="H315" s="1" t="str">
        <f t="shared" si="8"/>
        <v>Low</v>
      </c>
      <c r="I315" s="1" t="str">
        <f t="shared" si="9"/>
        <v>Tablet</v>
      </c>
    </row>
    <row r="316" spans="1:9" ht="13.2" x14ac:dyDescent="0.25">
      <c r="A316" s="1">
        <v>315</v>
      </c>
      <c r="B316" s="1" t="s">
        <v>11</v>
      </c>
      <c r="C316" s="1" t="s">
        <v>19</v>
      </c>
      <c r="D316" s="1" t="s">
        <v>21</v>
      </c>
      <c r="E316" s="1">
        <v>11</v>
      </c>
      <c r="F316" s="3">
        <v>94054</v>
      </c>
      <c r="G316" s="3">
        <v>1034594</v>
      </c>
      <c r="H316" s="1" t="str">
        <f t="shared" si="8"/>
        <v>High</v>
      </c>
      <c r="I316" s="1" t="str">
        <f t="shared" si="9"/>
        <v>Phone</v>
      </c>
    </row>
    <row r="317" spans="1:9" ht="13.2" x14ac:dyDescent="0.25">
      <c r="A317" s="1">
        <v>316</v>
      </c>
      <c r="B317" s="1" t="s">
        <v>16</v>
      </c>
      <c r="C317" s="1" t="s">
        <v>18</v>
      </c>
      <c r="D317" s="1" t="s">
        <v>9</v>
      </c>
      <c r="E317" s="1">
        <v>10</v>
      </c>
      <c r="F317" s="3">
        <v>64611</v>
      </c>
      <c r="G317" s="3">
        <v>646110</v>
      </c>
      <c r="H317" s="1" t="str">
        <f t="shared" si="8"/>
        <v>Low</v>
      </c>
      <c r="I317" s="1" t="str">
        <f t="shared" si="9"/>
        <v>Tablet</v>
      </c>
    </row>
    <row r="318" spans="1:9" ht="13.2" x14ac:dyDescent="0.25">
      <c r="A318" s="1">
        <v>317</v>
      </c>
      <c r="B318" s="1" t="s">
        <v>16</v>
      </c>
      <c r="C318" s="1" t="s">
        <v>17</v>
      </c>
      <c r="D318" s="1" t="s">
        <v>7</v>
      </c>
      <c r="E318" s="1">
        <v>1</v>
      </c>
      <c r="F318" s="3">
        <v>45495</v>
      </c>
      <c r="G318" s="3">
        <v>45495</v>
      </c>
      <c r="H318" s="1" t="str">
        <f t="shared" si="8"/>
        <v>Low</v>
      </c>
      <c r="I318" s="1" t="str">
        <f t="shared" si="9"/>
        <v>Tablet</v>
      </c>
    </row>
    <row r="319" spans="1:9" ht="13.2" x14ac:dyDescent="0.25">
      <c r="A319" s="1">
        <v>318</v>
      </c>
      <c r="B319" s="1" t="s">
        <v>5</v>
      </c>
      <c r="C319" s="1" t="s">
        <v>8</v>
      </c>
      <c r="D319" s="1" t="s">
        <v>21</v>
      </c>
      <c r="E319" s="1">
        <v>13</v>
      </c>
      <c r="F319" s="3">
        <v>230507</v>
      </c>
      <c r="G319" s="3">
        <v>2996591</v>
      </c>
      <c r="H319" s="1" t="str">
        <f t="shared" si="8"/>
        <v>High</v>
      </c>
      <c r="I319" s="1" t="str">
        <f t="shared" si="9"/>
        <v>Laptop</v>
      </c>
    </row>
    <row r="320" spans="1:9" ht="13.2" x14ac:dyDescent="0.25">
      <c r="A320" s="1">
        <v>319</v>
      </c>
      <c r="B320" s="1" t="s">
        <v>16</v>
      </c>
      <c r="C320" s="1" t="s">
        <v>18</v>
      </c>
      <c r="D320" s="1" t="s">
        <v>7</v>
      </c>
      <c r="E320" s="1">
        <v>15</v>
      </c>
      <c r="F320" s="3">
        <v>50617</v>
      </c>
      <c r="G320" s="3">
        <v>759255</v>
      </c>
      <c r="H320" s="1" t="str">
        <f t="shared" si="8"/>
        <v>Low</v>
      </c>
      <c r="I320" s="1" t="str">
        <f t="shared" si="9"/>
        <v>Tablet</v>
      </c>
    </row>
    <row r="321" spans="1:9" ht="13.2" x14ac:dyDescent="0.25">
      <c r="A321" s="1">
        <v>320</v>
      </c>
      <c r="B321" s="1" t="s">
        <v>11</v>
      </c>
      <c r="C321" s="1" t="s">
        <v>19</v>
      </c>
      <c r="D321" s="1" t="s">
        <v>13</v>
      </c>
      <c r="E321" s="1">
        <v>5</v>
      </c>
      <c r="F321" s="3">
        <v>114851</v>
      </c>
      <c r="G321" s="3">
        <v>574255</v>
      </c>
      <c r="H321" s="1" t="str">
        <f t="shared" si="8"/>
        <v>Low</v>
      </c>
      <c r="I321" s="1" t="str">
        <f t="shared" si="9"/>
        <v>Phone</v>
      </c>
    </row>
    <row r="322" spans="1:9" ht="13.2" x14ac:dyDescent="0.25">
      <c r="A322" s="1">
        <v>321</v>
      </c>
      <c r="B322" s="1" t="s">
        <v>5</v>
      </c>
      <c r="C322" s="1" t="s">
        <v>10</v>
      </c>
      <c r="D322" s="1" t="s">
        <v>21</v>
      </c>
      <c r="E322" s="1">
        <v>18</v>
      </c>
      <c r="F322" s="3">
        <v>217556</v>
      </c>
      <c r="G322" s="3">
        <v>3916008</v>
      </c>
      <c r="H322" s="1" t="str">
        <f t="shared" ref="H322:H385" si="10">IF(G322&gt;1000000,"High","Low")</f>
        <v>High</v>
      </c>
      <c r="I322" s="1" t="str">
        <f t="shared" ref="I322:I385" si="11">IF(B322="MacBook","Laptop",
   IF(B322="iPhone","Phone",
   IF(B322="iPad","Tablet","Other")))</f>
        <v>Laptop</v>
      </c>
    </row>
    <row r="323" spans="1:9" ht="13.2" x14ac:dyDescent="0.25">
      <c r="A323" s="1">
        <v>322</v>
      </c>
      <c r="B323" s="1" t="s">
        <v>5</v>
      </c>
      <c r="C323" s="1" t="s">
        <v>10</v>
      </c>
      <c r="D323" s="1" t="s">
        <v>14</v>
      </c>
      <c r="E323" s="1">
        <v>1</v>
      </c>
      <c r="F323" s="3">
        <v>139104</v>
      </c>
      <c r="G323" s="3">
        <v>139104</v>
      </c>
      <c r="H323" s="1" t="str">
        <f t="shared" si="10"/>
        <v>Low</v>
      </c>
      <c r="I323" s="1" t="str">
        <f t="shared" si="11"/>
        <v>Laptop</v>
      </c>
    </row>
    <row r="324" spans="1:9" ht="13.2" x14ac:dyDescent="0.25">
      <c r="A324" s="1">
        <v>323</v>
      </c>
      <c r="B324" s="1" t="s">
        <v>5</v>
      </c>
      <c r="C324" s="1" t="s">
        <v>8</v>
      </c>
      <c r="D324" s="1" t="s">
        <v>21</v>
      </c>
      <c r="E324" s="1">
        <v>7</v>
      </c>
      <c r="F324" s="3">
        <v>147993</v>
      </c>
      <c r="G324" s="3">
        <v>1035951</v>
      </c>
      <c r="H324" s="1" t="str">
        <f t="shared" si="10"/>
        <v>High</v>
      </c>
      <c r="I324" s="1" t="str">
        <f t="shared" si="11"/>
        <v>Laptop</v>
      </c>
    </row>
    <row r="325" spans="1:9" ht="13.2" x14ac:dyDescent="0.25">
      <c r="A325" s="1">
        <v>324</v>
      </c>
      <c r="B325" s="1" t="s">
        <v>16</v>
      </c>
      <c r="C325" s="1" t="s">
        <v>18</v>
      </c>
      <c r="D325" s="1" t="s">
        <v>14</v>
      </c>
      <c r="E325" s="1">
        <v>2</v>
      </c>
      <c r="F325" s="3">
        <v>86882</v>
      </c>
      <c r="G325" s="3">
        <v>173764</v>
      </c>
      <c r="H325" s="1" t="str">
        <f t="shared" si="10"/>
        <v>Low</v>
      </c>
      <c r="I325" s="1" t="str">
        <f t="shared" si="11"/>
        <v>Tablet</v>
      </c>
    </row>
    <row r="326" spans="1:9" ht="13.2" x14ac:dyDescent="0.25">
      <c r="A326" s="1">
        <v>325</v>
      </c>
      <c r="B326" s="1" t="s">
        <v>16</v>
      </c>
      <c r="C326" s="1" t="s">
        <v>17</v>
      </c>
      <c r="D326" s="1" t="s">
        <v>21</v>
      </c>
      <c r="E326" s="1">
        <v>10</v>
      </c>
      <c r="F326" s="3">
        <v>63164</v>
      </c>
      <c r="G326" s="3">
        <v>631640</v>
      </c>
      <c r="H326" s="1" t="str">
        <f t="shared" si="10"/>
        <v>Low</v>
      </c>
      <c r="I326" s="1" t="str">
        <f t="shared" si="11"/>
        <v>Tablet</v>
      </c>
    </row>
    <row r="327" spans="1:9" ht="13.2" x14ac:dyDescent="0.25">
      <c r="A327" s="1">
        <v>326</v>
      </c>
      <c r="B327" s="1" t="s">
        <v>11</v>
      </c>
      <c r="C327" s="1" t="s">
        <v>15</v>
      </c>
      <c r="D327" s="1" t="s">
        <v>7</v>
      </c>
      <c r="E327" s="1">
        <v>7</v>
      </c>
      <c r="F327" s="3">
        <v>104311</v>
      </c>
      <c r="G327" s="3">
        <v>730177</v>
      </c>
      <c r="H327" s="1" t="str">
        <f t="shared" si="10"/>
        <v>Low</v>
      </c>
      <c r="I327" s="1" t="str">
        <f t="shared" si="11"/>
        <v>Phone</v>
      </c>
    </row>
    <row r="328" spans="1:9" ht="13.2" x14ac:dyDescent="0.25">
      <c r="A328" s="1">
        <v>327</v>
      </c>
      <c r="B328" s="1" t="s">
        <v>16</v>
      </c>
      <c r="C328" s="1" t="s">
        <v>20</v>
      </c>
      <c r="D328" s="1" t="s">
        <v>14</v>
      </c>
      <c r="E328" s="1">
        <v>7</v>
      </c>
      <c r="F328" s="3">
        <v>94253</v>
      </c>
      <c r="G328" s="3">
        <v>659771</v>
      </c>
      <c r="H328" s="1" t="str">
        <f t="shared" si="10"/>
        <v>Low</v>
      </c>
      <c r="I328" s="1" t="str">
        <f t="shared" si="11"/>
        <v>Tablet</v>
      </c>
    </row>
    <row r="329" spans="1:9" ht="13.2" x14ac:dyDescent="0.25">
      <c r="A329" s="1">
        <v>328</v>
      </c>
      <c r="B329" s="1" t="s">
        <v>11</v>
      </c>
      <c r="C329" s="1" t="s">
        <v>15</v>
      </c>
      <c r="D329" s="1" t="s">
        <v>21</v>
      </c>
      <c r="E329" s="1">
        <v>9</v>
      </c>
      <c r="F329" s="3">
        <v>91367</v>
      </c>
      <c r="G329" s="3">
        <v>822303</v>
      </c>
      <c r="H329" s="1" t="str">
        <f t="shared" si="10"/>
        <v>Low</v>
      </c>
      <c r="I329" s="1" t="str">
        <f t="shared" si="11"/>
        <v>Phone</v>
      </c>
    </row>
    <row r="330" spans="1:9" ht="13.2" x14ac:dyDescent="0.25">
      <c r="A330" s="1">
        <v>329</v>
      </c>
      <c r="B330" s="1" t="s">
        <v>5</v>
      </c>
      <c r="C330" s="1" t="s">
        <v>6</v>
      </c>
      <c r="D330" s="1" t="s">
        <v>9</v>
      </c>
      <c r="E330" s="1">
        <v>17</v>
      </c>
      <c r="F330" s="3">
        <v>100756</v>
      </c>
      <c r="G330" s="3">
        <v>1712852</v>
      </c>
      <c r="H330" s="1" t="str">
        <f t="shared" si="10"/>
        <v>High</v>
      </c>
      <c r="I330" s="1" t="str">
        <f t="shared" si="11"/>
        <v>Laptop</v>
      </c>
    </row>
    <row r="331" spans="1:9" ht="13.2" x14ac:dyDescent="0.25">
      <c r="A331" s="1">
        <v>330</v>
      </c>
      <c r="B331" s="1" t="s">
        <v>5</v>
      </c>
      <c r="C331" s="1" t="s">
        <v>6</v>
      </c>
      <c r="D331" s="1" t="s">
        <v>9</v>
      </c>
      <c r="E331" s="1">
        <v>8</v>
      </c>
      <c r="F331" s="3">
        <v>163794</v>
      </c>
      <c r="G331" s="3">
        <v>1310352</v>
      </c>
      <c r="H331" s="1" t="str">
        <f t="shared" si="10"/>
        <v>High</v>
      </c>
      <c r="I331" s="1" t="str">
        <f t="shared" si="11"/>
        <v>Laptop</v>
      </c>
    </row>
    <row r="332" spans="1:9" ht="13.2" x14ac:dyDescent="0.25">
      <c r="A332" s="1">
        <v>331</v>
      </c>
      <c r="B332" s="1" t="s">
        <v>11</v>
      </c>
      <c r="C332" s="1" t="s">
        <v>19</v>
      </c>
      <c r="D332" s="1" t="s">
        <v>9</v>
      </c>
      <c r="E332" s="1">
        <v>3</v>
      </c>
      <c r="F332" s="3">
        <v>68533</v>
      </c>
      <c r="G332" s="3">
        <v>205599</v>
      </c>
      <c r="H332" s="1" t="str">
        <f t="shared" si="10"/>
        <v>Low</v>
      </c>
      <c r="I332" s="1" t="str">
        <f t="shared" si="11"/>
        <v>Phone</v>
      </c>
    </row>
    <row r="333" spans="1:9" ht="13.2" x14ac:dyDescent="0.25">
      <c r="A333" s="1">
        <v>332</v>
      </c>
      <c r="B333" s="1" t="s">
        <v>16</v>
      </c>
      <c r="C333" s="1" t="s">
        <v>20</v>
      </c>
      <c r="D333" s="1" t="s">
        <v>9</v>
      </c>
      <c r="E333" s="1">
        <v>17</v>
      </c>
      <c r="F333" s="3">
        <v>99745</v>
      </c>
      <c r="G333" s="3">
        <v>1695665</v>
      </c>
      <c r="H333" s="1" t="str">
        <f t="shared" si="10"/>
        <v>High</v>
      </c>
      <c r="I333" s="1" t="str">
        <f t="shared" si="11"/>
        <v>Tablet</v>
      </c>
    </row>
    <row r="334" spans="1:9" ht="13.2" x14ac:dyDescent="0.25">
      <c r="A334" s="1">
        <v>333</v>
      </c>
      <c r="B334" s="1" t="s">
        <v>16</v>
      </c>
      <c r="C334" s="1" t="s">
        <v>20</v>
      </c>
      <c r="D334" s="1" t="s">
        <v>21</v>
      </c>
      <c r="E334" s="1">
        <v>4</v>
      </c>
      <c r="F334" s="3">
        <v>82828</v>
      </c>
      <c r="G334" s="3">
        <v>331312</v>
      </c>
      <c r="H334" s="1" t="str">
        <f t="shared" si="10"/>
        <v>Low</v>
      </c>
      <c r="I334" s="1" t="str">
        <f t="shared" si="11"/>
        <v>Tablet</v>
      </c>
    </row>
    <row r="335" spans="1:9" ht="13.2" x14ac:dyDescent="0.25">
      <c r="A335" s="1">
        <v>334</v>
      </c>
      <c r="B335" s="1" t="s">
        <v>5</v>
      </c>
      <c r="C335" s="1" t="s">
        <v>10</v>
      </c>
      <c r="D335" s="1" t="s">
        <v>9</v>
      </c>
      <c r="E335" s="1">
        <v>16</v>
      </c>
      <c r="F335" s="3">
        <v>136479</v>
      </c>
      <c r="G335" s="3">
        <v>2183664</v>
      </c>
      <c r="H335" s="1" t="str">
        <f t="shared" si="10"/>
        <v>High</v>
      </c>
      <c r="I335" s="1" t="str">
        <f t="shared" si="11"/>
        <v>Laptop</v>
      </c>
    </row>
    <row r="336" spans="1:9" ht="13.2" x14ac:dyDescent="0.25">
      <c r="A336" s="1">
        <v>335</v>
      </c>
      <c r="B336" s="1" t="s">
        <v>5</v>
      </c>
      <c r="C336" s="1" t="s">
        <v>10</v>
      </c>
      <c r="D336" s="1" t="s">
        <v>14</v>
      </c>
      <c r="E336" s="1">
        <v>13</v>
      </c>
      <c r="F336" s="3">
        <v>138231</v>
      </c>
      <c r="G336" s="3">
        <v>1797003</v>
      </c>
      <c r="H336" s="1" t="str">
        <f t="shared" si="10"/>
        <v>High</v>
      </c>
      <c r="I336" s="1" t="str">
        <f t="shared" si="11"/>
        <v>Laptop</v>
      </c>
    </row>
    <row r="337" spans="1:9" ht="13.2" x14ac:dyDescent="0.25">
      <c r="A337" s="1">
        <v>336</v>
      </c>
      <c r="B337" s="1" t="s">
        <v>11</v>
      </c>
      <c r="C337" s="1" t="s">
        <v>12</v>
      </c>
      <c r="D337" s="1" t="s">
        <v>21</v>
      </c>
      <c r="E337" s="1">
        <v>6</v>
      </c>
      <c r="F337" s="3">
        <v>115701</v>
      </c>
      <c r="G337" s="3">
        <v>694206</v>
      </c>
      <c r="H337" s="1" t="str">
        <f t="shared" si="10"/>
        <v>Low</v>
      </c>
      <c r="I337" s="1" t="str">
        <f t="shared" si="11"/>
        <v>Phone</v>
      </c>
    </row>
    <row r="338" spans="1:9" ht="13.2" x14ac:dyDescent="0.25">
      <c r="A338" s="1">
        <v>337</v>
      </c>
      <c r="B338" s="1" t="s">
        <v>11</v>
      </c>
      <c r="C338" s="1" t="s">
        <v>19</v>
      </c>
      <c r="D338" s="1" t="s">
        <v>21</v>
      </c>
      <c r="E338" s="1">
        <v>2</v>
      </c>
      <c r="F338" s="3">
        <v>119900</v>
      </c>
      <c r="G338" s="3">
        <v>239800</v>
      </c>
      <c r="H338" s="1" t="str">
        <f t="shared" si="10"/>
        <v>Low</v>
      </c>
      <c r="I338" s="1" t="str">
        <f t="shared" si="11"/>
        <v>Phone</v>
      </c>
    </row>
    <row r="339" spans="1:9" ht="13.2" x14ac:dyDescent="0.25">
      <c r="A339" s="1">
        <v>338</v>
      </c>
      <c r="B339" s="1" t="s">
        <v>5</v>
      </c>
      <c r="C339" s="1" t="s">
        <v>10</v>
      </c>
      <c r="D339" s="1" t="s">
        <v>13</v>
      </c>
      <c r="E339" s="1">
        <v>13</v>
      </c>
      <c r="F339" s="3">
        <v>125585</v>
      </c>
      <c r="G339" s="3">
        <v>1632605</v>
      </c>
      <c r="H339" s="1" t="str">
        <f t="shared" si="10"/>
        <v>High</v>
      </c>
      <c r="I339" s="1" t="str">
        <f t="shared" si="11"/>
        <v>Laptop</v>
      </c>
    </row>
    <row r="340" spans="1:9" ht="13.2" x14ac:dyDescent="0.25">
      <c r="A340" s="1">
        <v>339</v>
      </c>
      <c r="B340" s="1" t="s">
        <v>11</v>
      </c>
      <c r="C340" s="1" t="s">
        <v>12</v>
      </c>
      <c r="D340" s="1" t="s">
        <v>9</v>
      </c>
      <c r="E340" s="1">
        <v>1</v>
      </c>
      <c r="F340" s="3">
        <v>115114</v>
      </c>
      <c r="G340" s="3">
        <v>115114</v>
      </c>
      <c r="H340" s="1" t="str">
        <f t="shared" si="10"/>
        <v>Low</v>
      </c>
      <c r="I340" s="1" t="str">
        <f t="shared" si="11"/>
        <v>Phone</v>
      </c>
    </row>
    <row r="341" spans="1:9" ht="13.2" x14ac:dyDescent="0.25">
      <c r="A341" s="1">
        <v>340</v>
      </c>
      <c r="B341" s="1" t="s">
        <v>16</v>
      </c>
      <c r="C341" s="1" t="s">
        <v>17</v>
      </c>
      <c r="D341" s="1" t="s">
        <v>9</v>
      </c>
      <c r="E341" s="1">
        <v>6</v>
      </c>
      <c r="F341" s="3">
        <v>64981</v>
      </c>
      <c r="G341" s="3">
        <v>389886</v>
      </c>
      <c r="H341" s="1" t="str">
        <f t="shared" si="10"/>
        <v>Low</v>
      </c>
      <c r="I341" s="1" t="str">
        <f t="shared" si="11"/>
        <v>Tablet</v>
      </c>
    </row>
    <row r="342" spans="1:9" ht="13.2" x14ac:dyDescent="0.25">
      <c r="A342" s="1">
        <v>341</v>
      </c>
      <c r="B342" s="1" t="s">
        <v>11</v>
      </c>
      <c r="C342" s="1" t="s">
        <v>19</v>
      </c>
      <c r="D342" s="1" t="s">
        <v>7</v>
      </c>
      <c r="E342" s="1">
        <v>12</v>
      </c>
      <c r="F342" s="3">
        <v>91982</v>
      </c>
      <c r="G342" s="3">
        <v>1103784</v>
      </c>
      <c r="H342" s="1" t="str">
        <f t="shared" si="10"/>
        <v>High</v>
      </c>
      <c r="I342" s="1" t="str">
        <f t="shared" si="11"/>
        <v>Phone</v>
      </c>
    </row>
    <row r="343" spans="1:9" ht="13.2" x14ac:dyDescent="0.25">
      <c r="A343" s="1">
        <v>342</v>
      </c>
      <c r="B343" s="1" t="s">
        <v>11</v>
      </c>
      <c r="C343" s="1" t="s">
        <v>15</v>
      </c>
      <c r="D343" s="1" t="s">
        <v>9</v>
      </c>
      <c r="E343" s="1">
        <v>10</v>
      </c>
      <c r="F343" s="3">
        <v>67629</v>
      </c>
      <c r="G343" s="3">
        <v>676290</v>
      </c>
      <c r="H343" s="1" t="str">
        <f t="shared" si="10"/>
        <v>Low</v>
      </c>
      <c r="I343" s="1" t="str">
        <f t="shared" si="11"/>
        <v>Phone</v>
      </c>
    </row>
    <row r="344" spans="1:9" ht="13.2" x14ac:dyDescent="0.25">
      <c r="A344" s="1">
        <v>343</v>
      </c>
      <c r="B344" s="1" t="s">
        <v>16</v>
      </c>
      <c r="C344" s="1" t="s">
        <v>18</v>
      </c>
      <c r="D344" s="1" t="s">
        <v>13</v>
      </c>
      <c r="E344" s="1">
        <v>15</v>
      </c>
      <c r="F344" s="3">
        <v>64226</v>
      </c>
      <c r="G344" s="3">
        <v>963390</v>
      </c>
      <c r="H344" s="1" t="str">
        <f t="shared" si="10"/>
        <v>Low</v>
      </c>
      <c r="I344" s="1" t="str">
        <f t="shared" si="11"/>
        <v>Tablet</v>
      </c>
    </row>
    <row r="345" spans="1:9" ht="13.2" x14ac:dyDescent="0.25">
      <c r="A345" s="1">
        <v>344</v>
      </c>
      <c r="B345" s="1" t="s">
        <v>16</v>
      </c>
      <c r="C345" s="1" t="s">
        <v>17</v>
      </c>
      <c r="D345" s="1" t="s">
        <v>7</v>
      </c>
      <c r="E345" s="1">
        <v>18</v>
      </c>
      <c r="F345" s="3">
        <v>78675</v>
      </c>
      <c r="G345" s="3">
        <v>1416150</v>
      </c>
      <c r="H345" s="1" t="str">
        <f t="shared" si="10"/>
        <v>High</v>
      </c>
      <c r="I345" s="1" t="str">
        <f t="shared" si="11"/>
        <v>Tablet</v>
      </c>
    </row>
    <row r="346" spans="1:9" ht="13.2" x14ac:dyDescent="0.25">
      <c r="A346" s="1">
        <v>345</v>
      </c>
      <c r="B346" s="1" t="s">
        <v>11</v>
      </c>
      <c r="C346" s="1" t="s">
        <v>12</v>
      </c>
      <c r="D346" s="1" t="s">
        <v>21</v>
      </c>
      <c r="E346" s="1">
        <v>1</v>
      </c>
      <c r="F346" s="3">
        <v>113411</v>
      </c>
      <c r="G346" s="3">
        <v>113411</v>
      </c>
      <c r="H346" s="1" t="str">
        <f t="shared" si="10"/>
        <v>Low</v>
      </c>
      <c r="I346" s="1" t="str">
        <f t="shared" si="11"/>
        <v>Phone</v>
      </c>
    </row>
    <row r="347" spans="1:9" ht="13.2" x14ac:dyDescent="0.25">
      <c r="A347" s="1">
        <v>346</v>
      </c>
      <c r="B347" s="1" t="s">
        <v>16</v>
      </c>
      <c r="C347" s="1" t="s">
        <v>20</v>
      </c>
      <c r="D347" s="1" t="s">
        <v>13</v>
      </c>
      <c r="E347" s="1">
        <v>14</v>
      </c>
      <c r="F347" s="3">
        <v>88563</v>
      </c>
      <c r="G347" s="3">
        <v>1239882</v>
      </c>
      <c r="H347" s="1" t="str">
        <f t="shared" si="10"/>
        <v>High</v>
      </c>
      <c r="I347" s="1" t="str">
        <f t="shared" si="11"/>
        <v>Tablet</v>
      </c>
    </row>
    <row r="348" spans="1:9" ht="13.2" x14ac:dyDescent="0.25">
      <c r="A348" s="1">
        <v>347</v>
      </c>
      <c r="B348" s="1" t="s">
        <v>11</v>
      </c>
      <c r="C348" s="1" t="s">
        <v>19</v>
      </c>
      <c r="D348" s="1" t="s">
        <v>7</v>
      </c>
      <c r="E348" s="1">
        <v>13</v>
      </c>
      <c r="F348" s="3">
        <v>108244</v>
      </c>
      <c r="G348" s="3">
        <v>1407172</v>
      </c>
      <c r="H348" s="1" t="str">
        <f t="shared" si="10"/>
        <v>High</v>
      </c>
      <c r="I348" s="1" t="str">
        <f t="shared" si="11"/>
        <v>Phone</v>
      </c>
    </row>
    <row r="349" spans="1:9" ht="13.2" x14ac:dyDescent="0.25">
      <c r="A349" s="1">
        <v>348</v>
      </c>
      <c r="B349" s="1" t="s">
        <v>11</v>
      </c>
      <c r="C349" s="1" t="s">
        <v>15</v>
      </c>
      <c r="D349" s="1" t="s">
        <v>9</v>
      </c>
      <c r="E349" s="1">
        <v>4</v>
      </c>
      <c r="F349" s="3">
        <v>100108</v>
      </c>
      <c r="G349" s="3">
        <v>400432</v>
      </c>
      <c r="H349" s="1" t="str">
        <f t="shared" si="10"/>
        <v>Low</v>
      </c>
      <c r="I349" s="1" t="str">
        <f t="shared" si="11"/>
        <v>Phone</v>
      </c>
    </row>
    <row r="350" spans="1:9" ht="13.2" x14ac:dyDescent="0.25">
      <c r="A350" s="1">
        <v>349</v>
      </c>
      <c r="B350" s="1" t="s">
        <v>11</v>
      </c>
      <c r="C350" s="1" t="s">
        <v>15</v>
      </c>
      <c r="D350" s="1" t="s">
        <v>14</v>
      </c>
      <c r="E350" s="1">
        <v>14</v>
      </c>
      <c r="F350" s="3">
        <v>88179</v>
      </c>
      <c r="G350" s="3">
        <v>1234506</v>
      </c>
      <c r="H350" s="1" t="str">
        <f t="shared" si="10"/>
        <v>High</v>
      </c>
      <c r="I350" s="1" t="str">
        <f t="shared" si="11"/>
        <v>Phone</v>
      </c>
    </row>
    <row r="351" spans="1:9" ht="13.2" x14ac:dyDescent="0.25">
      <c r="A351" s="1">
        <v>350</v>
      </c>
      <c r="B351" s="1" t="s">
        <v>5</v>
      </c>
      <c r="C351" s="1" t="s">
        <v>10</v>
      </c>
      <c r="D351" s="1" t="s">
        <v>14</v>
      </c>
      <c r="E351" s="1">
        <v>2</v>
      </c>
      <c r="F351" s="3">
        <v>129922</v>
      </c>
      <c r="G351" s="3">
        <v>259844</v>
      </c>
      <c r="H351" s="1" t="str">
        <f t="shared" si="10"/>
        <v>Low</v>
      </c>
      <c r="I351" s="1" t="str">
        <f t="shared" si="11"/>
        <v>Laptop</v>
      </c>
    </row>
    <row r="352" spans="1:9" ht="13.2" x14ac:dyDescent="0.25">
      <c r="A352" s="1">
        <v>351</v>
      </c>
      <c r="B352" s="1" t="s">
        <v>5</v>
      </c>
      <c r="C352" s="1" t="s">
        <v>10</v>
      </c>
      <c r="D352" s="1" t="s">
        <v>21</v>
      </c>
      <c r="E352" s="1">
        <v>10</v>
      </c>
      <c r="F352" s="3">
        <v>209863</v>
      </c>
      <c r="G352" s="3">
        <v>2098630</v>
      </c>
      <c r="H352" s="1" t="str">
        <f t="shared" si="10"/>
        <v>High</v>
      </c>
      <c r="I352" s="1" t="str">
        <f t="shared" si="11"/>
        <v>Laptop</v>
      </c>
    </row>
    <row r="353" spans="1:9" ht="13.2" x14ac:dyDescent="0.25">
      <c r="A353" s="1">
        <v>352</v>
      </c>
      <c r="B353" s="1" t="s">
        <v>5</v>
      </c>
      <c r="C353" s="1" t="s">
        <v>8</v>
      </c>
      <c r="D353" s="1" t="s">
        <v>13</v>
      </c>
      <c r="E353" s="1">
        <v>9</v>
      </c>
      <c r="F353" s="3">
        <v>118141</v>
      </c>
      <c r="G353" s="3">
        <v>1063269</v>
      </c>
      <c r="H353" s="1" t="str">
        <f t="shared" si="10"/>
        <v>High</v>
      </c>
      <c r="I353" s="1" t="str">
        <f t="shared" si="11"/>
        <v>Laptop</v>
      </c>
    </row>
    <row r="354" spans="1:9" ht="13.2" x14ac:dyDescent="0.25">
      <c r="A354" s="1">
        <v>353</v>
      </c>
      <c r="B354" s="1" t="s">
        <v>5</v>
      </c>
      <c r="C354" s="1" t="s">
        <v>6</v>
      </c>
      <c r="D354" s="1" t="s">
        <v>21</v>
      </c>
      <c r="E354" s="1">
        <v>4</v>
      </c>
      <c r="F354" s="3">
        <v>144823</v>
      </c>
      <c r="G354" s="3">
        <v>579292</v>
      </c>
      <c r="H354" s="1" t="str">
        <f t="shared" si="10"/>
        <v>Low</v>
      </c>
      <c r="I354" s="1" t="str">
        <f t="shared" si="11"/>
        <v>Laptop</v>
      </c>
    </row>
    <row r="355" spans="1:9" ht="13.2" x14ac:dyDescent="0.25">
      <c r="A355" s="1">
        <v>354</v>
      </c>
      <c r="B355" s="1" t="s">
        <v>11</v>
      </c>
      <c r="C355" s="1" t="s">
        <v>15</v>
      </c>
      <c r="D355" s="1" t="s">
        <v>14</v>
      </c>
      <c r="E355" s="1">
        <v>4</v>
      </c>
      <c r="F355" s="3">
        <v>72411</v>
      </c>
      <c r="G355" s="3">
        <v>289644</v>
      </c>
      <c r="H355" s="1" t="str">
        <f t="shared" si="10"/>
        <v>Low</v>
      </c>
      <c r="I355" s="1" t="str">
        <f t="shared" si="11"/>
        <v>Phone</v>
      </c>
    </row>
    <row r="356" spans="1:9" ht="13.2" x14ac:dyDescent="0.25">
      <c r="A356" s="1">
        <v>355</v>
      </c>
      <c r="B356" s="1" t="s">
        <v>5</v>
      </c>
      <c r="C356" s="1" t="s">
        <v>10</v>
      </c>
      <c r="D356" s="1" t="s">
        <v>14</v>
      </c>
      <c r="E356" s="1">
        <v>3</v>
      </c>
      <c r="F356" s="3">
        <v>116715</v>
      </c>
      <c r="G356" s="3">
        <v>350145</v>
      </c>
      <c r="H356" s="1" t="str">
        <f t="shared" si="10"/>
        <v>Low</v>
      </c>
      <c r="I356" s="1" t="str">
        <f t="shared" si="11"/>
        <v>Laptop</v>
      </c>
    </row>
    <row r="357" spans="1:9" ht="13.2" x14ac:dyDescent="0.25">
      <c r="A357" s="1">
        <v>356</v>
      </c>
      <c r="B357" s="1" t="s">
        <v>11</v>
      </c>
      <c r="C357" s="1" t="s">
        <v>19</v>
      </c>
      <c r="D357" s="1" t="s">
        <v>14</v>
      </c>
      <c r="E357" s="1">
        <v>5</v>
      </c>
      <c r="F357" s="3">
        <v>64481</v>
      </c>
      <c r="G357" s="3">
        <v>322405</v>
      </c>
      <c r="H357" s="1" t="str">
        <f t="shared" si="10"/>
        <v>Low</v>
      </c>
      <c r="I357" s="1" t="str">
        <f t="shared" si="11"/>
        <v>Phone</v>
      </c>
    </row>
    <row r="358" spans="1:9" ht="13.2" x14ac:dyDescent="0.25">
      <c r="A358" s="1">
        <v>357</v>
      </c>
      <c r="B358" s="1" t="s">
        <v>16</v>
      </c>
      <c r="C358" s="1" t="s">
        <v>17</v>
      </c>
      <c r="D358" s="1" t="s">
        <v>14</v>
      </c>
      <c r="E358" s="1">
        <v>7</v>
      </c>
      <c r="F358" s="3">
        <v>70784</v>
      </c>
      <c r="G358" s="3">
        <v>495488</v>
      </c>
      <c r="H358" s="1" t="str">
        <f t="shared" si="10"/>
        <v>Low</v>
      </c>
      <c r="I358" s="1" t="str">
        <f t="shared" si="11"/>
        <v>Tablet</v>
      </c>
    </row>
    <row r="359" spans="1:9" ht="13.2" x14ac:dyDescent="0.25">
      <c r="A359" s="1">
        <v>358</v>
      </c>
      <c r="B359" s="1" t="s">
        <v>16</v>
      </c>
      <c r="C359" s="1" t="s">
        <v>20</v>
      </c>
      <c r="D359" s="1" t="s">
        <v>14</v>
      </c>
      <c r="E359" s="1">
        <v>13</v>
      </c>
      <c r="F359" s="3">
        <v>56052</v>
      </c>
      <c r="G359" s="3">
        <v>728676</v>
      </c>
      <c r="H359" s="1" t="str">
        <f t="shared" si="10"/>
        <v>Low</v>
      </c>
      <c r="I359" s="1" t="str">
        <f t="shared" si="11"/>
        <v>Tablet</v>
      </c>
    </row>
    <row r="360" spans="1:9" ht="13.2" x14ac:dyDescent="0.25">
      <c r="A360" s="1">
        <v>359</v>
      </c>
      <c r="B360" s="1" t="s">
        <v>11</v>
      </c>
      <c r="C360" s="1" t="s">
        <v>12</v>
      </c>
      <c r="D360" s="1" t="s">
        <v>14</v>
      </c>
      <c r="E360" s="1">
        <v>3</v>
      </c>
      <c r="F360" s="3">
        <v>113744</v>
      </c>
      <c r="G360" s="3">
        <v>341232</v>
      </c>
      <c r="H360" s="1" t="str">
        <f t="shared" si="10"/>
        <v>Low</v>
      </c>
      <c r="I360" s="1" t="str">
        <f t="shared" si="11"/>
        <v>Phone</v>
      </c>
    </row>
    <row r="361" spans="1:9" ht="13.2" x14ac:dyDescent="0.25">
      <c r="A361" s="1">
        <v>360</v>
      </c>
      <c r="B361" s="1" t="s">
        <v>5</v>
      </c>
      <c r="C361" s="1" t="s">
        <v>6</v>
      </c>
      <c r="D361" s="1" t="s">
        <v>13</v>
      </c>
      <c r="E361" s="1">
        <v>4</v>
      </c>
      <c r="F361" s="3">
        <v>111223</v>
      </c>
      <c r="G361" s="3">
        <v>444892</v>
      </c>
      <c r="H361" s="1" t="str">
        <f t="shared" si="10"/>
        <v>Low</v>
      </c>
      <c r="I361" s="1" t="str">
        <f t="shared" si="11"/>
        <v>Laptop</v>
      </c>
    </row>
    <row r="362" spans="1:9" ht="13.2" x14ac:dyDescent="0.25">
      <c r="A362" s="1">
        <v>361</v>
      </c>
      <c r="B362" s="1" t="s">
        <v>11</v>
      </c>
      <c r="C362" s="1" t="s">
        <v>12</v>
      </c>
      <c r="D362" s="1" t="s">
        <v>21</v>
      </c>
      <c r="E362" s="1">
        <v>6</v>
      </c>
      <c r="F362" s="3">
        <v>119945</v>
      </c>
      <c r="G362" s="3">
        <v>719670</v>
      </c>
      <c r="H362" s="1" t="str">
        <f t="shared" si="10"/>
        <v>Low</v>
      </c>
      <c r="I362" s="1" t="str">
        <f t="shared" si="11"/>
        <v>Phone</v>
      </c>
    </row>
    <row r="363" spans="1:9" ht="13.2" x14ac:dyDescent="0.25">
      <c r="A363" s="1">
        <v>362</v>
      </c>
      <c r="B363" s="1" t="s">
        <v>11</v>
      </c>
      <c r="C363" s="1" t="s">
        <v>12</v>
      </c>
      <c r="D363" s="1" t="s">
        <v>14</v>
      </c>
      <c r="E363" s="1">
        <v>9</v>
      </c>
      <c r="F363" s="3">
        <v>99040</v>
      </c>
      <c r="G363" s="3">
        <v>891360</v>
      </c>
      <c r="H363" s="1" t="str">
        <f t="shared" si="10"/>
        <v>Low</v>
      </c>
      <c r="I363" s="1" t="str">
        <f t="shared" si="11"/>
        <v>Phone</v>
      </c>
    </row>
    <row r="364" spans="1:9" ht="13.2" x14ac:dyDescent="0.25">
      <c r="A364" s="1">
        <v>363</v>
      </c>
      <c r="B364" s="1" t="s">
        <v>11</v>
      </c>
      <c r="C364" s="1" t="s">
        <v>19</v>
      </c>
      <c r="D364" s="1" t="s">
        <v>14</v>
      </c>
      <c r="E364" s="1">
        <v>18</v>
      </c>
      <c r="F364" s="3">
        <v>80281</v>
      </c>
      <c r="G364" s="3">
        <v>1445058</v>
      </c>
      <c r="H364" s="1" t="str">
        <f t="shared" si="10"/>
        <v>High</v>
      </c>
      <c r="I364" s="1" t="str">
        <f t="shared" si="11"/>
        <v>Phone</v>
      </c>
    </row>
    <row r="365" spans="1:9" ht="13.2" x14ac:dyDescent="0.25">
      <c r="A365" s="1">
        <v>364</v>
      </c>
      <c r="B365" s="1" t="s">
        <v>5</v>
      </c>
      <c r="C365" s="1" t="s">
        <v>8</v>
      </c>
      <c r="D365" s="1" t="s">
        <v>21</v>
      </c>
      <c r="E365" s="1">
        <v>2</v>
      </c>
      <c r="F365" s="3">
        <v>141399</v>
      </c>
      <c r="G365" s="3">
        <v>282798</v>
      </c>
      <c r="H365" s="1" t="str">
        <f t="shared" si="10"/>
        <v>Low</v>
      </c>
      <c r="I365" s="1" t="str">
        <f t="shared" si="11"/>
        <v>Laptop</v>
      </c>
    </row>
    <row r="366" spans="1:9" ht="13.2" x14ac:dyDescent="0.25">
      <c r="A366" s="1">
        <v>365</v>
      </c>
      <c r="B366" s="1" t="s">
        <v>5</v>
      </c>
      <c r="C366" s="1" t="s">
        <v>6</v>
      </c>
      <c r="D366" s="1" t="s">
        <v>9</v>
      </c>
      <c r="E366" s="1">
        <v>13</v>
      </c>
      <c r="F366" s="3">
        <v>120111</v>
      </c>
      <c r="G366" s="3">
        <v>1561443</v>
      </c>
      <c r="H366" s="1" t="str">
        <f t="shared" si="10"/>
        <v>High</v>
      </c>
      <c r="I366" s="1" t="str">
        <f t="shared" si="11"/>
        <v>Laptop</v>
      </c>
    </row>
    <row r="367" spans="1:9" ht="13.2" x14ac:dyDescent="0.25">
      <c r="A367" s="1">
        <v>366</v>
      </c>
      <c r="B367" s="1" t="s">
        <v>11</v>
      </c>
      <c r="C367" s="1" t="s">
        <v>15</v>
      </c>
      <c r="D367" s="1" t="s">
        <v>13</v>
      </c>
      <c r="E367" s="1">
        <v>5</v>
      </c>
      <c r="F367" s="3">
        <v>101991</v>
      </c>
      <c r="G367" s="3">
        <v>509955</v>
      </c>
      <c r="H367" s="1" t="str">
        <f t="shared" si="10"/>
        <v>Low</v>
      </c>
      <c r="I367" s="1" t="str">
        <f t="shared" si="11"/>
        <v>Phone</v>
      </c>
    </row>
    <row r="368" spans="1:9" ht="13.2" x14ac:dyDescent="0.25">
      <c r="A368" s="1">
        <v>367</v>
      </c>
      <c r="B368" s="1" t="s">
        <v>11</v>
      </c>
      <c r="C368" s="1" t="s">
        <v>12</v>
      </c>
      <c r="D368" s="1" t="s">
        <v>21</v>
      </c>
      <c r="E368" s="1">
        <v>19</v>
      </c>
      <c r="F368" s="3">
        <v>117751</v>
      </c>
      <c r="G368" s="3">
        <v>2237269</v>
      </c>
      <c r="H368" s="1" t="str">
        <f t="shared" si="10"/>
        <v>High</v>
      </c>
      <c r="I368" s="1" t="str">
        <f t="shared" si="11"/>
        <v>Phone</v>
      </c>
    </row>
    <row r="369" spans="1:9" ht="13.2" x14ac:dyDescent="0.25">
      <c r="A369" s="1">
        <v>368</v>
      </c>
      <c r="B369" s="1" t="s">
        <v>11</v>
      </c>
      <c r="C369" s="1" t="s">
        <v>12</v>
      </c>
      <c r="D369" s="1" t="s">
        <v>9</v>
      </c>
      <c r="E369" s="1">
        <v>8</v>
      </c>
      <c r="F369" s="3">
        <v>104857</v>
      </c>
      <c r="G369" s="3">
        <v>838856</v>
      </c>
      <c r="H369" s="1" t="str">
        <f t="shared" si="10"/>
        <v>Low</v>
      </c>
      <c r="I369" s="1" t="str">
        <f t="shared" si="11"/>
        <v>Phone</v>
      </c>
    </row>
    <row r="370" spans="1:9" ht="13.2" x14ac:dyDescent="0.25">
      <c r="A370" s="1">
        <v>369</v>
      </c>
      <c r="B370" s="1" t="s">
        <v>5</v>
      </c>
      <c r="C370" s="1" t="s">
        <v>8</v>
      </c>
      <c r="D370" s="1" t="s">
        <v>13</v>
      </c>
      <c r="E370" s="1">
        <v>19</v>
      </c>
      <c r="F370" s="3">
        <v>154027</v>
      </c>
      <c r="G370" s="3">
        <v>2926513</v>
      </c>
      <c r="H370" s="1" t="str">
        <f t="shared" si="10"/>
        <v>High</v>
      </c>
      <c r="I370" s="1" t="str">
        <f t="shared" si="11"/>
        <v>Laptop</v>
      </c>
    </row>
    <row r="371" spans="1:9" ht="13.2" x14ac:dyDescent="0.25">
      <c r="A371" s="1">
        <v>370</v>
      </c>
      <c r="B371" s="1" t="s">
        <v>5</v>
      </c>
      <c r="C371" s="1" t="s">
        <v>10</v>
      </c>
      <c r="D371" s="1" t="s">
        <v>7</v>
      </c>
      <c r="E371" s="1">
        <v>5</v>
      </c>
      <c r="F371" s="3">
        <v>214917</v>
      </c>
      <c r="G371" s="3">
        <v>1074585</v>
      </c>
      <c r="H371" s="1" t="str">
        <f t="shared" si="10"/>
        <v>High</v>
      </c>
      <c r="I371" s="1" t="str">
        <f t="shared" si="11"/>
        <v>Laptop</v>
      </c>
    </row>
    <row r="372" spans="1:9" ht="13.2" x14ac:dyDescent="0.25">
      <c r="A372" s="1">
        <v>371</v>
      </c>
      <c r="B372" s="1" t="s">
        <v>16</v>
      </c>
      <c r="C372" s="1" t="s">
        <v>17</v>
      </c>
      <c r="D372" s="1" t="s">
        <v>21</v>
      </c>
      <c r="E372" s="1">
        <v>16</v>
      </c>
      <c r="F372" s="3">
        <v>63888</v>
      </c>
      <c r="G372" s="3">
        <v>1022208</v>
      </c>
      <c r="H372" s="1" t="str">
        <f t="shared" si="10"/>
        <v>High</v>
      </c>
      <c r="I372" s="1" t="str">
        <f t="shared" si="11"/>
        <v>Tablet</v>
      </c>
    </row>
    <row r="373" spans="1:9" ht="13.2" x14ac:dyDescent="0.25">
      <c r="A373" s="1">
        <v>372</v>
      </c>
      <c r="B373" s="1" t="s">
        <v>11</v>
      </c>
      <c r="C373" s="1" t="s">
        <v>19</v>
      </c>
      <c r="D373" s="1" t="s">
        <v>9</v>
      </c>
      <c r="E373" s="1">
        <v>15</v>
      </c>
      <c r="F373" s="3">
        <v>85538</v>
      </c>
      <c r="G373" s="3">
        <v>1283070</v>
      </c>
      <c r="H373" s="1" t="str">
        <f t="shared" si="10"/>
        <v>High</v>
      </c>
      <c r="I373" s="1" t="str">
        <f t="shared" si="11"/>
        <v>Phone</v>
      </c>
    </row>
    <row r="374" spans="1:9" ht="13.2" x14ac:dyDescent="0.25">
      <c r="A374" s="1">
        <v>373</v>
      </c>
      <c r="B374" s="1" t="s">
        <v>16</v>
      </c>
      <c r="C374" s="1" t="s">
        <v>18</v>
      </c>
      <c r="D374" s="1" t="s">
        <v>7</v>
      </c>
      <c r="E374" s="1">
        <v>9</v>
      </c>
      <c r="F374" s="3">
        <v>97721</v>
      </c>
      <c r="G374" s="3">
        <v>879489</v>
      </c>
      <c r="H374" s="1" t="str">
        <f t="shared" si="10"/>
        <v>Low</v>
      </c>
      <c r="I374" s="1" t="str">
        <f t="shared" si="11"/>
        <v>Tablet</v>
      </c>
    </row>
    <row r="375" spans="1:9" ht="13.2" x14ac:dyDescent="0.25">
      <c r="A375" s="1">
        <v>374</v>
      </c>
      <c r="B375" s="1" t="s">
        <v>16</v>
      </c>
      <c r="C375" s="1" t="s">
        <v>18</v>
      </c>
      <c r="D375" s="1" t="s">
        <v>14</v>
      </c>
      <c r="E375" s="1">
        <v>4</v>
      </c>
      <c r="F375" s="3">
        <v>45978</v>
      </c>
      <c r="G375" s="3">
        <v>183912</v>
      </c>
      <c r="H375" s="1" t="str">
        <f t="shared" si="10"/>
        <v>Low</v>
      </c>
      <c r="I375" s="1" t="str">
        <f t="shared" si="11"/>
        <v>Tablet</v>
      </c>
    </row>
    <row r="376" spans="1:9" ht="13.2" x14ac:dyDescent="0.25">
      <c r="A376" s="1">
        <v>375</v>
      </c>
      <c r="B376" s="1" t="s">
        <v>11</v>
      </c>
      <c r="C376" s="1" t="s">
        <v>15</v>
      </c>
      <c r="D376" s="1" t="s">
        <v>21</v>
      </c>
      <c r="E376" s="1">
        <v>16</v>
      </c>
      <c r="F376" s="3">
        <v>69503</v>
      </c>
      <c r="G376" s="3">
        <v>1112048</v>
      </c>
      <c r="H376" s="1" t="str">
        <f t="shared" si="10"/>
        <v>High</v>
      </c>
      <c r="I376" s="1" t="str">
        <f t="shared" si="11"/>
        <v>Phone</v>
      </c>
    </row>
    <row r="377" spans="1:9" ht="13.2" x14ac:dyDescent="0.25">
      <c r="A377" s="1">
        <v>376</v>
      </c>
      <c r="B377" s="1" t="s">
        <v>16</v>
      </c>
      <c r="C377" s="1" t="s">
        <v>17</v>
      </c>
      <c r="D377" s="1" t="s">
        <v>9</v>
      </c>
      <c r="E377" s="1">
        <v>9</v>
      </c>
      <c r="F377" s="3">
        <v>44583</v>
      </c>
      <c r="G377" s="3">
        <v>401247</v>
      </c>
      <c r="H377" s="1" t="str">
        <f t="shared" si="10"/>
        <v>Low</v>
      </c>
      <c r="I377" s="1" t="str">
        <f t="shared" si="11"/>
        <v>Tablet</v>
      </c>
    </row>
    <row r="378" spans="1:9" ht="13.2" x14ac:dyDescent="0.25">
      <c r="A378" s="1">
        <v>377</v>
      </c>
      <c r="B378" s="1" t="s">
        <v>16</v>
      </c>
      <c r="C378" s="1" t="s">
        <v>18</v>
      </c>
      <c r="D378" s="1" t="s">
        <v>9</v>
      </c>
      <c r="E378" s="1">
        <v>18</v>
      </c>
      <c r="F378" s="3">
        <v>52275</v>
      </c>
      <c r="G378" s="3">
        <v>940950</v>
      </c>
      <c r="H378" s="1" t="str">
        <f t="shared" si="10"/>
        <v>Low</v>
      </c>
      <c r="I378" s="1" t="str">
        <f t="shared" si="11"/>
        <v>Tablet</v>
      </c>
    </row>
    <row r="379" spans="1:9" ht="13.2" x14ac:dyDescent="0.25">
      <c r="A379" s="1">
        <v>378</v>
      </c>
      <c r="B379" s="1" t="s">
        <v>11</v>
      </c>
      <c r="C379" s="1" t="s">
        <v>15</v>
      </c>
      <c r="D379" s="1" t="s">
        <v>7</v>
      </c>
      <c r="E379" s="1">
        <v>14</v>
      </c>
      <c r="F379" s="3">
        <v>78544</v>
      </c>
      <c r="G379" s="3">
        <v>1099616</v>
      </c>
      <c r="H379" s="1" t="str">
        <f t="shared" si="10"/>
        <v>High</v>
      </c>
      <c r="I379" s="1" t="str">
        <f t="shared" si="11"/>
        <v>Phone</v>
      </c>
    </row>
    <row r="380" spans="1:9" ht="13.2" x14ac:dyDescent="0.25">
      <c r="A380" s="1">
        <v>379</v>
      </c>
      <c r="B380" s="1" t="s">
        <v>16</v>
      </c>
      <c r="C380" s="1" t="s">
        <v>17</v>
      </c>
      <c r="D380" s="1" t="s">
        <v>7</v>
      </c>
      <c r="E380" s="1">
        <v>7</v>
      </c>
      <c r="F380" s="3">
        <v>77643</v>
      </c>
      <c r="G380" s="3">
        <v>543501</v>
      </c>
      <c r="H380" s="1" t="str">
        <f t="shared" si="10"/>
        <v>Low</v>
      </c>
      <c r="I380" s="1" t="str">
        <f t="shared" si="11"/>
        <v>Tablet</v>
      </c>
    </row>
    <row r="381" spans="1:9" ht="13.2" x14ac:dyDescent="0.25">
      <c r="A381" s="1">
        <v>380</v>
      </c>
      <c r="B381" s="1" t="s">
        <v>11</v>
      </c>
      <c r="C381" s="1" t="s">
        <v>12</v>
      </c>
      <c r="D381" s="1" t="s">
        <v>9</v>
      </c>
      <c r="E381" s="1">
        <v>8</v>
      </c>
      <c r="F381" s="3">
        <v>93069</v>
      </c>
      <c r="G381" s="3">
        <v>744552</v>
      </c>
      <c r="H381" s="1" t="str">
        <f t="shared" si="10"/>
        <v>Low</v>
      </c>
      <c r="I381" s="1" t="str">
        <f t="shared" si="11"/>
        <v>Phone</v>
      </c>
    </row>
    <row r="382" spans="1:9" ht="13.2" x14ac:dyDescent="0.25">
      <c r="A382" s="1">
        <v>381</v>
      </c>
      <c r="B382" s="1" t="s">
        <v>5</v>
      </c>
      <c r="C382" s="1" t="s">
        <v>10</v>
      </c>
      <c r="D382" s="1" t="s">
        <v>14</v>
      </c>
      <c r="E382" s="1">
        <v>11</v>
      </c>
      <c r="F382" s="3">
        <v>113387</v>
      </c>
      <c r="G382" s="3">
        <v>1247257</v>
      </c>
      <c r="H382" s="1" t="str">
        <f t="shared" si="10"/>
        <v>High</v>
      </c>
      <c r="I382" s="1" t="str">
        <f t="shared" si="11"/>
        <v>Laptop</v>
      </c>
    </row>
    <row r="383" spans="1:9" ht="13.2" x14ac:dyDescent="0.25">
      <c r="A383" s="1">
        <v>382</v>
      </c>
      <c r="B383" s="1" t="s">
        <v>11</v>
      </c>
      <c r="C383" s="1" t="s">
        <v>19</v>
      </c>
      <c r="D383" s="1" t="s">
        <v>13</v>
      </c>
      <c r="E383" s="1">
        <v>2</v>
      </c>
      <c r="F383" s="3">
        <v>105268</v>
      </c>
      <c r="G383" s="3">
        <v>210536</v>
      </c>
      <c r="H383" s="1" t="str">
        <f t="shared" si="10"/>
        <v>Low</v>
      </c>
      <c r="I383" s="1" t="str">
        <f t="shared" si="11"/>
        <v>Phone</v>
      </c>
    </row>
    <row r="384" spans="1:9" ht="13.2" x14ac:dyDescent="0.25">
      <c r="A384" s="1">
        <v>383</v>
      </c>
      <c r="B384" s="1" t="s">
        <v>16</v>
      </c>
      <c r="C384" s="1" t="s">
        <v>17</v>
      </c>
      <c r="D384" s="1" t="s">
        <v>9</v>
      </c>
      <c r="E384" s="1">
        <v>15</v>
      </c>
      <c r="F384" s="3">
        <v>86486</v>
      </c>
      <c r="G384" s="3">
        <v>1297290</v>
      </c>
      <c r="H384" s="1" t="str">
        <f t="shared" si="10"/>
        <v>High</v>
      </c>
      <c r="I384" s="1" t="str">
        <f t="shared" si="11"/>
        <v>Tablet</v>
      </c>
    </row>
    <row r="385" spans="1:9" ht="13.2" x14ac:dyDescent="0.25">
      <c r="A385" s="1">
        <v>384</v>
      </c>
      <c r="B385" s="1" t="s">
        <v>11</v>
      </c>
      <c r="C385" s="1" t="s">
        <v>19</v>
      </c>
      <c r="D385" s="1" t="s">
        <v>13</v>
      </c>
      <c r="E385" s="1">
        <v>11</v>
      </c>
      <c r="F385" s="3">
        <v>87044</v>
      </c>
      <c r="G385" s="3">
        <v>957484</v>
      </c>
      <c r="H385" s="1" t="str">
        <f t="shared" si="10"/>
        <v>Low</v>
      </c>
      <c r="I385" s="1" t="str">
        <f t="shared" si="11"/>
        <v>Phone</v>
      </c>
    </row>
    <row r="386" spans="1:9" ht="13.2" x14ac:dyDescent="0.25">
      <c r="A386" s="1">
        <v>385</v>
      </c>
      <c r="B386" s="1" t="s">
        <v>5</v>
      </c>
      <c r="C386" s="1" t="s">
        <v>10</v>
      </c>
      <c r="D386" s="1" t="s">
        <v>9</v>
      </c>
      <c r="E386" s="1">
        <v>19</v>
      </c>
      <c r="F386" s="3">
        <v>119725</v>
      </c>
      <c r="G386" s="3">
        <v>2274775</v>
      </c>
      <c r="H386" s="1" t="str">
        <f t="shared" ref="H386:H449" si="12">IF(G386&gt;1000000,"High","Low")</f>
        <v>High</v>
      </c>
      <c r="I386" s="1" t="str">
        <f t="shared" ref="I386:I449" si="13">IF(B386="MacBook","Laptop",
   IF(B386="iPhone","Phone",
   IF(B386="iPad","Tablet","Other")))</f>
        <v>Laptop</v>
      </c>
    </row>
    <row r="387" spans="1:9" ht="13.2" x14ac:dyDescent="0.25">
      <c r="A387" s="1">
        <v>386</v>
      </c>
      <c r="B387" s="1" t="s">
        <v>5</v>
      </c>
      <c r="C387" s="1" t="s">
        <v>6</v>
      </c>
      <c r="D387" s="1" t="s">
        <v>7</v>
      </c>
      <c r="E387" s="1">
        <v>5</v>
      </c>
      <c r="F387" s="3">
        <v>131321</v>
      </c>
      <c r="G387" s="3">
        <v>656605</v>
      </c>
      <c r="H387" s="1" t="str">
        <f t="shared" si="12"/>
        <v>Low</v>
      </c>
      <c r="I387" s="1" t="str">
        <f t="shared" si="13"/>
        <v>Laptop</v>
      </c>
    </row>
    <row r="388" spans="1:9" ht="13.2" x14ac:dyDescent="0.25">
      <c r="A388" s="1">
        <v>387</v>
      </c>
      <c r="B388" s="1" t="s">
        <v>11</v>
      </c>
      <c r="C388" s="1" t="s">
        <v>12</v>
      </c>
      <c r="D388" s="1" t="s">
        <v>7</v>
      </c>
      <c r="E388" s="1">
        <v>3</v>
      </c>
      <c r="F388" s="3">
        <v>76832</v>
      </c>
      <c r="G388" s="3">
        <v>230496</v>
      </c>
      <c r="H388" s="1" t="str">
        <f t="shared" si="12"/>
        <v>Low</v>
      </c>
      <c r="I388" s="1" t="str">
        <f t="shared" si="13"/>
        <v>Phone</v>
      </c>
    </row>
    <row r="389" spans="1:9" ht="13.2" x14ac:dyDescent="0.25">
      <c r="A389" s="1">
        <v>388</v>
      </c>
      <c r="B389" s="1" t="s">
        <v>16</v>
      </c>
      <c r="C389" s="1" t="s">
        <v>17</v>
      </c>
      <c r="D389" s="1" t="s">
        <v>13</v>
      </c>
      <c r="E389" s="1">
        <v>10</v>
      </c>
      <c r="F389" s="3">
        <v>76735</v>
      </c>
      <c r="G389" s="3">
        <v>767350</v>
      </c>
      <c r="H389" s="1" t="str">
        <f t="shared" si="12"/>
        <v>Low</v>
      </c>
      <c r="I389" s="1" t="str">
        <f t="shared" si="13"/>
        <v>Tablet</v>
      </c>
    </row>
    <row r="390" spans="1:9" ht="13.2" x14ac:dyDescent="0.25">
      <c r="A390" s="1">
        <v>389</v>
      </c>
      <c r="B390" s="1" t="s">
        <v>5</v>
      </c>
      <c r="C390" s="1" t="s">
        <v>10</v>
      </c>
      <c r="D390" s="1" t="s">
        <v>9</v>
      </c>
      <c r="E390" s="1">
        <v>9</v>
      </c>
      <c r="F390" s="3">
        <v>207235</v>
      </c>
      <c r="G390" s="3">
        <v>1865115</v>
      </c>
      <c r="H390" s="1" t="str">
        <f t="shared" si="12"/>
        <v>High</v>
      </c>
      <c r="I390" s="1" t="str">
        <f t="shared" si="13"/>
        <v>Laptop</v>
      </c>
    </row>
    <row r="391" spans="1:9" ht="13.2" x14ac:dyDescent="0.25">
      <c r="A391" s="1">
        <v>390</v>
      </c>
      <c r="B391" s="1" t="s">
        <v>16</v>
      </c>
      <c r="C391" s="1" t="s">
        <v>20</v>
      </c>
      <c r="D391" s="1" t="s">
        <v>7</v>
      </c>
      <c r="E391" s="1">
        <v>12</v>
      </c>
      <c r="F391" s="3">
        <v>90189</v>
      </c>
      <c r="G391" s="3">
        <v>1082268</v>
      </c>
      <c r="H391" s="1" t="str">
        <f t="shared" si="12"/>
        <v>High</v>
      </c>
      <c r="I391" s="1" t="str">
        <f t="shared" si="13"/>
        <v>Tablet</v>
      </c>
    </row>
    <row r="392" spans="1:9" ht="13.2" x14ac:dyDescent="0.25">
      <c r="A392" s="1">
        <v>391</v>
      </c>
      <c r="B392" s="1" t="s">
        <v>11</v>
      </c>
      <c r="C392" s="1" t="s">
        <v>12</v>
      </c>
      <c r="D392" s="1" t="s">
        <v>13</v>
      </c>
      <c r="E392" s="1">
        <v>11</v>
      </c>
      <c r="F392" s="3">
        <v>96751</v>
      </c>
      <c r="G392" s="3">
        <v>1064261</v>
      </c>
      <c r="H392" s="1" t="str">
        <f t="shared" si="12"/>
        <v>High</v>
      </c>
      <c r="I392" s="1" t="str">
        <f t="shared" si="13"/>
        <v>Phone</v>
      </c>
    </row>
    <row r="393" spans="1:9" ht="13.2" x14ac:dyDescent="0.25">
      <c r="A393" s="1">
        <v>392</v>
      </c>
      <c r="B393" s="1" t="s">
        <v>11</v>
      </c>
      <c r="C393" s="1" t="s">
        <v>19</v>
      </c>
      <c r="D393" s="1" t="s">
        <v>7</v>
      </c>
      <c r="E393" s="1">
        <v>4</v>
      </c>
      <c r="F393" s="3">
        <v>69596</v>
      </c>
      <c r="G393" s="3">
        <v>278384</v>
      </c>
      <c r="H393" s="1" t="str">
        <f t="shared" si="12"/>
        <v>Low</v>
      </c>
      <c r="I393" s="1" t="str">
        <f t="shared" si="13"/>
        <v>Phone</v>
      </c>
    </row>
    <row r="394" spans="1:9" ht="13.2" x14ac:dyDescent="0.25">
      <c r="A394" s="1">
        <v>393</v>
      </c>
      <c r="B394" s="1" t="s">
        <v>16</v>
      </c>
      <c r="C394" s="1" t="s">
        <v>17</v>
      </c>
      <c r="D394" s="1" t="s">
        <v>14</v>
      </c>
      <c r="E394" s="1">
        <v>5</v>
      </c>
      <c r="F394" s="3">
        <v>78356</v>
      </c>
      <c r="G394" s="3">
        <v>391780</v>
      </c>
      <c r="H394" s="1" t="str">
        <f t="shared" si="12"/>
        <v>Low</v>
      </c>
      <c r="I394" s="1" t="str">
        <f t="shared" si="13"/>
        <v>Tablet</v>
      </c>
    </row>
    <row r="395" spans="1:9" ht="13.2" x14ac:dyDescent="0.25">
      <c r="A395" s="1">
        <v>394</v>
      </c>
      <c r="B395" s="1" t="s">
        <v>16</v>
      </c>
      <c r="C395" s="1" t="s">
        <v>20</v>
      </c>
      <c r="D395" s="1" t="s">
        <v>21</v>
      </c>
      <c r="E395" s="1">
        <v>14</v>
      </c>
      <c r="F395" s="3">
        <v>73848</v>
      </c>
      <c r="G395" s="3">
        <v>1033872</v>
      </c>
      <c r="H395" s="1" t="str">
        <f t="shared" si="12"/>
        <v>High</v>
      </c>
      <c r="I395" s="1" t="str">
        <f t="shared" si="13"/>
        <v>Tablet</v>
      </c>
    </row>
    <row r="396" spans="1:9" ht="13.2" x14ac:dyDescent="0.25">
      <c r="A396" s="1">
        <v>395</v>
      </c>
      <c r="B396" s="1" t="s">
        <v>5</v>
      </c>
      <c r="C396" s="1" t="s">
        <v>8</v>
      </c>
      <c r="D396" s="1" t="s">
        <v>14</v>
      </c>
      <c r="E396" s="1">
        <v>4</v>
      </c>
      <c r="F396" s="3">
        <v>159122</v>
      </c>
      <c r="G396" s="3">
        <v>636488</v>
      </c>
      <c r="H396" s="1" t="str">
        <f t="shared" si="12"/>
        <v>Low</v>
      </c>
      <c r="I396" s="1" t="str">
        <f t="shared" si="13"/>
        <v>Laptop</v>
      </c>
    </row>
    <row r="397" spans="1:9" ht="13.2" x14ac:dyDescent="0.25">
      <c r="A397" s="1">
        <v>396</v>
      </c>
      <c r="B397" s="1" t="s">
        <v>16</v>
      </c>
      <c r="C397" s="1" t="s">
        <v>17</v>
      </c>
      <c r="D397" s="1" t="s">
        <v>7</v>
      </c>
      <c r="E397" s="1">
        <v>4</v>
      </c>
      <c r="F397" s="3">
        <v>51005</v>
      </c>
      <c r="G397" s="3">
        <v>204020</v>
      </c>
      <c r="H397" s="1" t="str">
        <f t="shared" si="12"/>
        <v>Low</v>
      </c>
      <c r="I397" s="1" t="str">
        <f t="shared" si="13"/>
        <v>Tablet</v>
      </c>
    </row>
    <row r="398" spans="1:9" ht="13.2" x14ac:dyDescent="0.25">
      <c r="A398" s="1">
        <v>397</v>
      </c>
      <c r="B398" s="1" t="s">
        <v>16</v>
      </c>
      <c r="C398" s="1" t="s">
        <v>20</v>
      </c>
      <c r="D398" s="1" t="s">
        <v>13</v>
      </c>
      <c r="E398" s="1">
        <v>19</v>
      </c>
      <c r="F398" s="3">
        <v>83922</v>
      </c>
      <c r="G398" s="3">
        <v>1594518</v>
      </c>
      <c r="H398" s="1" t="str">
        <f t="shared" si="12"/>
        <v>High</v>
      </c>
      <c r="I398" s="1" t="str">
        <f t="shared" si="13"/>
        <v>Tablet</v>
      </c>
    </row>
    <row r="399" spans="1:9" ht="13.2" x14ac:dyDescent="0.25">
      <c r="A399" s="1">
        <v>398</v>
      </c>
      <c r="B399" s="1" t="s">
        <v>16</v>
      </c>
      <c r="C399" s="1" t="s">
        <v>18</v>
      </c>
      <c r="D399" s="1" t="s">
        <v>9</v>
      </c>
      <c r="E399" s="1">
        <v>12</v>
      </c>
      <c r="F399" s="3">
        <v>61817</v>
      </c>
      <c r="G399" s="3">
        <v>741804</v>
      </c>
      <c r="H399" s="1" t="str">
        <f t="shared" si="12"/>
        <v>Low</v>
      </c>
      <c r="I399" s="1" t="str">
        <f t="shared" si="13"/>
        <v>Tablet</v>
      </c>
    </row>
    <row r="400" spans="1:9" ht="13.2" x14ac:dyDescent="0.25">
      <c r="A400" s="1">
        <v>399</v>
      </c>
      <c r="B400" s="1" t="s">
        <v>5</v>
      </c>
      <c r="C400" s="1" t="s">
        <v>6</v>
      </c>
      <c r="D400" s="1" t="s">
        <v>21</v>
      </c>
      <c r="E400" s="1">
        <v>4</v>
      </c>
      <c r="F400" s="3">
        <v>227328</v>
      </c>
      <c r="G400" s="3">
        <v>909312</v>
      </c>
      <c r="H400" s="1" t="str">
        <f t="shared" si="12"/>
        <v>Low</v>
      </c>
      <c r="I400" s="1" t="str">
        <f t="shared" si="13"/>
        <v>Laptop</v>
      </c>
    </row>
    <row r="401" spans="1:9" ht="13.2" x14ac:dyDescent="0.25">
      <c r="A401" s="1">
        <v>400</v>
      </c>
      <c r="B401" s="1" t="s">
        <v>16</v>
      </c>
      <c r="C401" s="1" t="s">
        <v>17</v>
      </c>
      <c r="D401" s="1" t="s">
        <v>13</v>
      </c>
      <c r="E401" s="1">
        <v>17</v>
      </c>
      <c r="F401" s="3">
        <v>65051</v>
      </c>
      <c r="G401" s="3">
        <v>1105867</v>
      </c>
      <c r="H401" s="1" t="str">
        <f t="shared" si="12"/>
        <v>High</v>
      </c>
      <c r="I401" s="1" t="str">
        <f t="shared" si="13"/>
        <v>Tablet</v>
      </c>
    </row>
    <row r="402" spans="1:9" ht="13.2" x14ac:dyDescent="0.25">
      <c r="A402" s="1">
        <v>401</v>
      </c>
      <c r="B402" s="1" t="s">
        <v>11</v>
      </c>
      <c r="C402" s="1" t="s">
        <v>19</v>
      </c>
      <c r="D402" s="1" t="s">
        <v>9</v>
      </c>
      <c r="E402" s="1">
        <v>13</v>
      </c>
      <c r="F402" s="3">
        <v>72448</v>
      </c>
      <c r="G402" s="3">
        <v>941824</v>
      </c>
      <c r="H402" s="1" t="str">
        <f t="shared" si="12"/>
        <v>Low</v>
      </c>
      <c r="I402" s="1" t="str">
        <f t="shared" si="13"/>
        <v>Phone</v>
      </c>
    </row>
    <row r="403" spans="1:9" ht="13.2" x14ac:dyDescent="0.25">
      <c r="A403" s="1">
        <v>402</v>
      </c>
      <c r="B403" s="1" t="s">
        <v>5</v>
      </c>
      <c r="C403" s="1" t="s">
        <v>8</v>
      </c>
      <c r="D403" s="1" t="s">
        <v>9</v>
      </c>
      <c r="E403" s="1">
        <v>15</v>
      </c>
      <c r="F403" s="3">
        <v>174045</v>
      </c>
      <c r="G403" s="3">
        <v>2610675</v>
      </c>
      <c r="H403" s="1" t="str">
        <f t="shared" si="12"/>
        <v>High</v>
      </c>
      <c r="I403" s="1" t="str">
        <f t="shared" si="13"/>
        <v>Laptop</v>
      </c>
    </row>
    <row r="404" spans="1:9" ht="13.2" x14ac:dyDescent="0.25">
      <c r="A404" s="1">
        <v>403</v>
      </c>
      <c r="B404" s="1" t="s">
        <v>5</v>
      </c>
      <c r="C404" s="1" t="s">
        <v>8</v>
      </c>
      <c r="D404" s="1" t="s">
        <v>9</v>
      </c>
      <c r="E404" s="1">
        <v>9</v>
      </c>
      <c r="F404" s="3">
        <v>210312</v>
      </c>
      <c r="G404" s="3">
        <v>1892808</v>
      </c>
      <c r="H404" s="1" t="str">
        <f t="shared" si="12"/>
        <v>High</v>
      </c>
      <c r="I404" s="1" t="str">
        <f t="shared" si="13"/>
        <v>Laptop</v>
      </c>
    </row>
    <row r="405" spans="1:9" ht="13.2" x14ac:dyDescent="0.25">
      <c r="A405" s="1">
        <v>404</v>
      </c>
      <c r="B405" s="1" t="s">
        <v>11</v>
      </c>
      <c r="C405" s="1" t="s">
        <v>19</v>
      </c>
      <c r="D405" s="1" t="s">
        <v>14</v>
      </c>
      <c r="E405" s="1">
        <v>18</v>
      </c>
      <c r="F405" s="3">
        <v>106850</v>
      </c>
      <c r="G405" s="3">
        <v>1923300</v>
      </c>
      <c r="H405" s="1" t="str">
        <f t="shared" si="12"/>
        <v>High</v>
      </c>
      <c r="I405" s="1" t="str">
        <f t="shared" si="13"/>
        <v>Phone</v>
      </c>
    </row>
    <row r="406" spans="1:9" ht="13.2" x14ac:dyDescent="0.25">
      <c r="A406" s="1">
        <v>405</v>
      </c>
      <c r="B406" s="1" t="s">
        <v>16</v>
      </c>
      <c r="C406" s="1" t="s">
        <v>18</v>
      </c>
      <c r="D406" s="1" t="s">
        <v>13</v>
      </c>
      <c r="E406" s="1">
        <v>13</v>
      </c>
      <c r="F406" s="3">
        <v>63284</v>
      </c>
      <c r="G406" s="3">
        <v>822692</v>
      </c>
      <c r="H406" s="1" t="str">
        <f t="shared" si="12"/>
        <v>Low</v>
      </c>
      <c r="I406" s="1" t="str">
        <f t="shared" si="13"/>
        <v>Tablet</v>
      </c>
    </row>
    <row r="407" spans="1:9" ht="13.2" x14ac:dyDescent="0.25">
      <c r="A407" s="1">
        <v>406</v>
      </c>
      <c r="B407" s="1" t="s">
        <v>16</v>
      </c>
      <c r="C407" s="1" t="s">
        <v>20</v>
      </c>
      <c r="D407" s="1" t="s">
        <v>9</v>
      </c>
      <c r="E407" s="1">
        <v>19</v>
      </c>
      <c r="F407" s="3">
        <v>47999</v>
      </c>
      <c r="G407" s="3">
        <v>911981</v>
      </c>
      <c r="H407" s="1" t="str">
        <f t="shared" si="12"/>
        <v>Low</v>
      </c>
      <c r="I407" s="1" t="str">
        <f t="shared" si="13"/>
        <v>Tablet</v>
      </c>
    </row>
    <row r="408" spans="1:9" ht="13.2" x14ac:dyDescent="0.25">
      <c r="A408" s="1">
        <v>407</v>
      </c>
      <c r="B408" s="1" t="s">
        <v>11</v>
      </c>
      <c r="C408" s="1" t="s">
        <v>12</v>
      </c>
      <c r="D408" s="1" t="s">
        <v>7</v>
      </c>
      <c r="E408" s="1">
        <v>10</v>
      </c>
      <c r="F408" s="3">
        <v>85279</v>
      </c>
      <c r="G408" s="3">
        <v>852790</v>
      </c>
      <c r="H408" s="1" t="str">
        <f t="shared" si="12"/>
        <v>Low</v>
      </c>
      <c r="I408" s="1" t="str">
        <f t="shared" si="13"/>
        <v>Phone</v>
      </c>
    </row>
    <row r="409" spans="1:9" ht="13.2" x14ac:dyDescent="0.25">
      <c r="A409" s="1">
        <v>408</v>
      </c>
      <c r="B409" s="1" t="s">
        <v>16</v>
      </c>
      <c r="C409" s="1" t="s">
        <v>17</v>
      </c>
      <c r="D409" s="1" t="s">
        <v>21</v>
      </c>
      <c r="E409" s="1">
        <v>7</v>
      </c>
      <c r="F409" s="3">
        <v>92130</v>
      </c>
      <c r="G409" s="3">
        <v>644910</v>
      </c>
      <c r="H409" s="1" t="str">
        <f t="shared" si="12"/>
        <v>Low</v>
      </c>
      <c r="I409" s="1" t="str">
        <f t="shared" si="13"/>
        <v>Tablet</v>
      </c>
    </row>
    <row r="410" spans="1:9" ht="13.2" x14ac:dyDescent="0.25">
      <c r="A410" s="1">
        <v>409</v>
      </c>
      <c r="B410" s="1" t="s">
        <v>16</v>
      </c>
      <c r="C410" s="1" t="s">
        <v>18</v>
      </c>
      <c r="D410" s="1" t="s">
        <v>9</v>
      </c>
      <c r="E410" s="1">
        <v>14</v>
      </c>
      <c r="F410" s="3">
        <v>47531</v>
      </c>
      <c r="G410" s="3">
        <v>665434</v>
      </c>
      <c r="H410" s="1" t="str">
        <f t="shared" si="12"/>
        <v>Low</v>
      </c>
      <c r="I410" s="1" t="str">
        <f t="shared" si="13"/>
        <v>Tablet</v>
      </c>
    </row>
    <row r="411" spans="1:9" ht="13.2" x14ac:dyDescent="0.25">
      <c r="A411" s="1">
        <v>410</v>
      </c>
      <c r="B411" s="1" t="s">
        <v>11</v>
      </c>
      <c r="C411" s="1" t="s">
        <v>12</v>
      </c>
      <c r="D411" s="1" t="s">
        <v>9</v>
      </c>
      <c r="E411" s="1">
        <v>12</v>
      </c>
      <c r="F411" s="3">
        <v>97481</v>
      </c>
      <c r="G411" s="3">
        <v>1169772</v>
      </c>
      <c r="H411" s="1" t="str">
        <f t="shared" si="12"/>
        <v>High</v>
      </c>
      <c r="I411" s="1" t="str">
        <f t="shared" si="13"/>
        <v>Phone</v>
      </c>
    </row>
    <row r="412" spans="1:9" ht="13.2" x14ac:dyDescent="0.25">
      <c r="A412" s="1">
        <v>411</v>
      </c>
      <c r="B412" s="1" t="s">
        <v>5</v>
      </c>
      <c r="C412" s="1" t="s">
        <v>8</v>
      </c>
      <c r="D412" s="1" t="s">
        <v>21</v>
      </c>
      <c r="E412" s="1">
        <v>14</v>
      </c>
      <c r="F412" s="3">
        <v>230905</v>
      </c>
      <c r="G412" s="3">
        <v>3232670</v>
      </c>
      <c r="H412" s="1" t="str">
        <f t="shared" si="12"/>
        <v>High</v>
      </c>
      <c r="I412" s="1" t="str">
        <f t="shared" si="13"/>
        <v>Laptop</v>
      </c>
    </row>
    <row r="413" spans="1:9" ht="13.2" x14ac:dyDescent="0.25">
      <c r="A413" s="1">
        <v>412</v>
      </c>
      <c r="B413" s="1" t="s">
        <v>11</v>
      </c>
      <c r="C413" s="1" t="s">
        <v>19</v>
      </c>
      <c r="D413" s="1" t="s">
        <v>13</v>
      </c>
      <c r="E413" s="1">
        <v>12</v>
      </c>
      <c r="F413" s="3">
        <v>101800</v>
      </c>
      <c r="G413" s="3">
        <v>1221600</v>
      </c>
      <c r="H413" s="1" t="str">
        <f t="shared" si="12"/>
        <v>High</v>
      </c>
      <c r="I413" s="1" t="str">
        <f t="shared" si="13"/>
        <v>Phone</v>
      </c>
    </row>
    <row r="414" spans="1:9" ht="13.2" x14ac:dyDescent="0.25">
      <c r="A414" s="1">
        <v>413</v>
      </c>
      <c r="B414" s="1" t="s">
        <v>16</v>
      </c>
      <c r="C414" s="1" t="s">
        <v>20</v>
      </c>
      <c r="D414" s="1" t="s">
        <v>7</v>
      </c>
      <c r="E414" s="1">
        <v>11</v>
      </c>
      <c r="F414" s="3">
        <v>55892</v>
      </c>
      <c r="G414" s="3">
        <v>614812</v>
      </c>
      <c r="H414" s="1" t="str">
        <f t="shared" si="12"/>
        <v>Low</v>
      </c>
      <c r="I414" s="1" t="str">
        <f t="shared" si="13"/>
        <v>Tablet</v>
      </c>
    </row>
    <row r="415" spans="1:9" ht="13.2" x14ac:dyDescent="0.25">
      <c r="A415" s="1">
        <v>414</v>
      </c>
      <c r="B415" s="1" t="s">
        <v>11</v>
      </c>
      <c r="C415" s="1" t="s">
        <v>15</v>
      </c>
      <c r="D415" s="1" t="s">
        <v>13</v>
      </c>
      <c r="E415" s="1">
        <v>7</v>
      </c>
      <c r="F415" s="3">
        <v>91358</v>
      </c>
      <c r="G415" s="3">
        <v>639506</v>
      </c>
      <c r="H415" s="1" t="str">
        <f t="shared" si="12"/>
        <v>Low</v>
      </c>
      <c r="I415" s="1" t="str">
        <f t="shared" si="13"/>
        <v>Phone</v>
      </c>
    </row>
    <row r="416" spans="1:9" ht="13.2" x14ac:dyDescent="0.25">
      <c r="A416" s="1">
        <v>415</v>
      </c>
      <c r="B416" s="1" t="s">
        <v>5</v>
      </c>
      <c r="C416" s="1" t="s">
        <v>8</v>
      </c>
      <c r="D416" s="1" t="s">
        <v>21</v>
      </c>
      <c r="E416" s="1">
        <v>10</v>
      </c>
      <c r="F416" s="3">
        <v>201487</v>
      </c>
      <c r="G416" s="3">
        <v>2014870</v>
      </c>
      <c r="H416" s="1" t="str">
        <f t="shared" si="12"/>
        <v>High</v>
      </c>
      <c r="I416" s="1" t="str">
        <f t="shared" si="13"/>
        <v>Laptop</v>
      </c>
    </row>
    <row r="417" spans="1:9" ht="13.2" x14ac:dyDescent="0.25">
      <c r="A417" s="1">
        <v>416</v>
      </c>
      <c r="B417" s="1" t="s">
        <v>11</v>
      </c>
      <c r="C417" s="1" t="s">
        <v>19</v>
      </c>
      <c r="D417" s="1" t="s">
        <v>21</v>
      </c>
      <c r="E417" s="1">
        <v>18</v>
      </c>
      <c r="F417" s="3">
        <v>88228</v>
      </c>
      <c r="G417" s="3">
        <v>1588104</v>
      </c>
      <c r="H417" s="1" t="str">
        <f t="shared" si="12"/>
        <v>High</v>
      </c>
      <c r="I417" s="1" t="str">
        <f t="shared" si="13"/>
        <v>Phone</v>
      </c>
    </row>
    <row r="418" spans="1:9" ht="13.2" x14ac:dyDescent="0.25">
      <c r="A418" s="1">
        <v>417</v>
      </c>
      <c r="B418" s="1" t="s">
        <v>5</v>
      </c>
      <c r="C418" s="1" t="s">
        <v>8</v>
      </c>
      <c r="D418" s="1" t="s">
        <v>21</v>
      </c>
      <c r="E418" s="1">
        <v>12</v>
      </c>
      <c r="F418" s="3">
        <v>180536</v>
      </c>
      <c r="G418" s="3">
        <v>2166432</v>
      </c>
      <c r="H418" s="1" t="str">
        <f t="shared" si="12"/>
        <v>High</v>
      </c>
      <c r="I418" s="1" t="str">
        <f t="shared" si="13"/>
        <v>Laptop</v>
      </c>
    </row>
    <row r="419" spans="1:9" ht="13.2" x14ac:dyDescent="0.25">
      <c r="A419" s="1">
        <v>418</v>
      </c>
      <c r="B419" s="1" t="s">
        <v>16</v>
      </c>
      <c r="C419" s="1" t="s">
        <v>18</v>
      </c>
      <c r="D419" s="1" t="s">
        <v>21</v>
      </c>
      <c r="E419" s="1">
        <v>4</v>
      </c>
      <c r="F419" s="3">
        <v>63017</v>
      </c>
      <c r="G419" s="3">
        <v>252068</v>
      </c>
      <c r="H419" s="1" t="str">
        <f t="shared" si="12"/>
        <v>Low</v>
      </c>
      <c r="I419" s="1" t="str">
        <f t="shared" si="13"/>
        <v>Tablet</v>
      </c>
    </row>
    <row r="420" spans="1:9" ht="13.2" x14ac:dyDescent="0.25">
      <c r="A420" s="1">
        <v>419</v>
      </c>
      <c r="B420" s="1" t="s">
        <v>11</v>
      </c>
      <c r="C420" s="1" t="s">
        <v>12</v>
      </c>
      <c r="D420" s="1" t="s">
        <v>21</v>
      </c>
      <c r="E420" s="1">
        <v>2</v>
      </c>
      <c r="F420" s="3">
        <v>66171</v>
      </c>
      <c r="G420" s="3">
        <v>132342</v>
      </c>
      <c r="H420" s="1" t="str">
        <f t="shared" si="12"/>
        <v>Low</v>
      </c>
      <c r="I420" s="1" t="str">
        <f t="shared" si="13"/>
        <v>Phone</v>
      </c>
    </row>
    <row r="421" spans="1:9" ht="13.2" x14ac:dyDescent="0.25">
      <c r="A421" s="1">
        <v>420</v>
      </c>
      <c r="B421" s="1" t="s">
        <v>5</v>
      </c>
      <c r="C421" s="1" t="s">
        <v>10</v>
      </c>
      <c r="D421" s="1" t="s">
        <v>7</v>
      </c>
      <c r="E421" s="1">
        <v>17</v>
      </c>
      <c r="F421" s="3">
        <v>140669</v>
      </c>
      <c r="G421" s="3">
        <v>2391373</v>
      </c>
      <c r="H421" s="1" t="str">
        <f t="shared" si="12"/>
        <v>High</v>
      </c>
      <c r="I421" s="1" t="str">
        <f t="shared" si="13"/>
        <v>Laptop</v>
      </c>
    </row>
    <row r="422" spans="1:9" ht="13.2" x14ac:dyDescent="0.25">
      <c r="A422" s="1">
        <v>421</v>
      </c>
      <c r="B422" s="1" t="s">
        <v>11</v>
      </c>
      <c r="C422" s="1" t="s">
        <v>19</v>
      </c>
      <c r="D422" s="1" t="s">
        <v>7</v>
      </c>
      <c r="E422" s="1">
        <v>5</v>
      </c>
      <c r="F422" s="3">
        <v>77921</v>
      </c>
      <c r="G422" s="3">
        <v>389605</v>
      </c>
      <c r="H422" s="1" t="str">
        <f t="shared" si="12"/>
        <v>Low</v>
      </c>
      <c r="I422" s="1" t="str">
        <f t="shared" si="13"/>
        <v>Phone</v>
      </c>
    </row>
    <row r="423" spans="1:9" ht="13.2" x14ac:dyDescent="0.25">
      <c r="A423" s="1">
        <v>422</v>
      </c>
      <c r="B423" s="1" t="s">
        <v>16</v>
      </c>
      <c r="C423" s="1" t="s">
        <v>20</v>
      </c>
      <c r="D423" s="1" t="s">
        <v>9</v>
      </c>
      <c r="E423" s="1">
        <v>16</v>
      </c>
      <c r="F423" s="3">
        <v>52722</v>
      </c>
      <c r="G423" s="3">
        <v>843552</v>
      </c>
      <c r="H423" s="1" t="str">
        <f t="shared" si="12"/>
        <v>Low</v>
      </c>
      <c r="I423" s="1" t="str">
        <f t="shared" si="13"/>
        <v>Tablet</v>
      </c>
    </row>
    <row r="424" spans="1:9" ht="13.2" x14ac:dyDescent="0.25">
      <c r="A424" s="1">
        <v>423</v>
      </c>
      <c r="B424" s="1" t="s">
        <v>5</v>
      </c>
      <c r="C424" s="1" t="s">
        <v>10</v>
      </c>
      <c r="D424" s="1" t="s">
        <v>21</v>
      </c>
      <c r="E424" s="1">
        <v>10</v>
      </c>
      <c r="F424" s="3">
        <v>190158</v>
      </c>
      <c r="G424" s="3">
        <v>1901580</v>
      </c>
      <c r="H424" s="1" t="str">
        <f t="shared" si="12"/>
        <v>High</v>
      </c>
      <c r="I424" s="1" t="str">
        <f t="shared" si="13"/>
        <v>Laptop</v>
      </c>
    </row>
    <row r="425" spans="1:9" ht="13.2" x14ac:dyDescent="0.25">
      <c r="A425" s="1">
        <v>424</v>
      </c>
      <c r="B425" s="1" t="s">
        <v>5</v>
      </c>
      <c r="C425" s="1" t="s">
        <v>6</v>
      </c>
      <c r="D425" s="1" t="s">
        <v>14</v>
      </c>
      <c r="E425" s="1">
        <v>4</v>
      </c>
      <c r="F425" s="3">
        <v>95774</v>
      </c>
      <c r="G425" s="3">
        <v>383096</v>
      </c>
      <c r="H425" s="1" t="str">
        <f t="shared" si="12"/>
        <v>Low</v>
      </c>
      <c r="I425" s="1" t="str">
        <f t="shared" si="13"/>
        <v>Laptop</v>
      </c>
    </row>
    <row r="426" spans="1:9" ht="13.2" x14ac:dyDescent="0.25">
      <c r="A426" s="1">
        <v>425</v>
      </c>
      <c r="B426" s="1" t="s">
        <v>5</v>
      </c>
      <c r="C426" s="1" t="s">
        <v>10</v>
      </c>
      <c r="D426" s="1" t="s">
        <v>7</v>
      </c>
      <c r="E426" s="1">
        <v>14</v>
      </c>
      <c r="F426" s="3">
        <v>117624</v>
      </c>
      <c r="G426" s="3">
        <v>1646736</v>
      </c>
      <c r="H426" s="1" t="str">
        <f t="shared" si="12"/>
        <v>High</v>
      </c>
      <c r="I426" s="1" t="str">
        <f t="shared" si="13"/>
        <v>Laptop</v>
      </c>
    </row>
    <row r="427" spans="1:9" ht="13.2" x14ac:dyDescent="0.25">
      <c r="A427" s="1">
        <v>426</v>
      </c>
      <c r="B427" s="1" t="s">
        <v>16</v>
      </c>
      <c r="C427" s="1" t="s">
        <v>18</v>
      </c>
      <c r="D427" s="1" t="s">
        <v>13</v>
      </c>
      <c r="E427" s="1">
        <v>2</v>
      </c>
      <c r="F427" s="3">
        <v>62263</v>
      </c>
      <c r="G427" s="3">
        <v>124526</v>
      </c>
      <c r="H427" s="1" t="str">
        <f t="shared" si="12"/>
        <v>Low</v>
      </c>
      <c r="I427" s="1" t="str">
        <f t="shared" si="13"/>
        <v>Tablet</v>
      </c>
    </row>
    <row r="428" spans="1:9" ht="13.2" x14ac:dyDescent="0.25">
      <c r="A428" s="1">
        <v>427</v>
      </c>
      <c r="B428" s="1" t="s">
        <v>11</v>
      </c>
      <c r="C428" s="1" t="s">
        <v>19</v>
      </c>
      <c r="D428" s="1" t="s">
        <v>21</v>
      </c>
      <c r="E428" s="1">
        <v>3</v>
      </c>
      <c r="F428" s="3">
        <v>81253</v>
      </c>
      <c r="G428" s="3">
        <v>243759</v>
      </c>
      <c r="H428" s="1" t="str">
        <f t="shared" si="12"/>
        <v>Low</v>
      </c>
      <c r="I428" s="1" t="str">
        <f t="shared" si="13"/>
        <v>Phone</v>
      </c>
    </row>
    <row r="429" spans="1:9" ht="13.2" x14ac:dyDescent="0.25">
      <c r="A429" s="1">
        <v>428</v>
      </c>
      <c r="B429" s="1" t="s">
        <v>5</v>
      </c>
      <c r="C429" s="1" t="s">
        <v>10</v>
      </c>
      <c r="D429" s="1" t="s">
        <v>9</v>
      </c>
      <c r="E429" s="1">
        <v>11</v>
      </c>
      <c r="F429" s="3">
        <v>223623</v>
      </c>
      <c r="G429" s="3">
        <v>2459853</v>
      </c>
      <c r="H429" s="1" t="str">
        <f t="shared" si="12"/>
        <v>High</v>
      </c>
      <c r="I429" s="1" t="str">
        <f t="shared" si="13"/>
        <v>Laptop</v>
      </c>
    </row>
    <row r="430" spans="1:9" ht="13.2" x14ac:dyDescent="0.25">
      <c r="A430" s="1">
        <v>429</v>
      </c>
      <c r="B430" s="1" t="s">
        <v>16</v>
      </c>
      <c r="C430" s="1" t="s">
        <v>18</v>
      </c>
      <c r="D430" s="1" t="s">
        <v>21</v>
      </c>
      <c r="E430" s="1">
        <v>4</v>
      </c>
      <c r="F430" s="3">
        <v>47239</v>
      </c>
      <c r="G430" s="3">
        <v>188956</v>
      </c>
      <c r="H430" s="1" t="str">
        <f t="shared" si="12"/>
        <v>Low</v>
      </c>
      <c r="I430" s="1" t="str">
        <f t="shared" si="13"/>
        <v>Tablet</v>
      </c>
    </row>
    <row r="431" spans="1:9" ht="13.2" x14ac:dyDescent="0.25">
      <c r="A431" s="1">
        <v>430</v>
      </c>
      <c r="B431" s="1" t="s">
        <v>5</v>
      </c>
      <c r="C431" s="1" t="s">
        <v>8</v>
      </c>
      <c r="D431" s="1" t="s">
        <v>9</v>
      </c>
      <c r="E431" s="1">
        <v>16</v>
      </c>
      <c r="F431" s="3">
        <v>228043</v>
      </c>
      <c r="G431" s="3">
        <v>3648688</v>
      </c>
      <c r="H431" s="1" t="str">
        <f t="shared" si="12"/>
        <v>High</v>
      </c>
      <c r="I431" s="1" t="str">
        <f t="shared" si="13"/>
        <v>Laptop</v>
      </c>
    </row>
    <row r="432" spans="1:9" ht="13.2" x14ac:dyDescent="0.25">
      <c r="A432" s="1">
        <v>431</v>
      </c>
      <c r="B432" s="1" t="s">
        <v>16</v>
      </c>
      <c r="C432" s="1" t="s">
        <v>20</v>
      </c>
      <c r="D432" s="1" t="s">
        <v>13</v>
      </c>
      <c r="E432" s="1">
        <v>7</v>
      </c>
      <c r="F432" s="3">
        <v>46530</v>
      </c>
      <c r="G432" s="3">
        <v>325710</v>
      </c>
      <c r="H432" s="1" t="str">
        <f t="shared" si="12"/>
        <v>Low</v>
      </c>
      <c r="I432" s="1" t="str">
        <f t="shared" si="13"/>
        <v>Tablet</v>
      </c>
    </row>
    <row r="433" spans="1:9" ht="13.2" x14ac:dyDescent="0.25">
      <c r="A433" s="1">
        <v>432</v>
      </c>
      <c r="B433" s="1" t="s">
        <v>5</v>
      </c>
      <c r="C433" s="1" t="s">
        <v>10</v>
      </c>
      <c r="D433" s="1" t="s">
        <v>9</v>
      </c>
      <c r="E433" s="1">
        <v>11</v>
      </c>
      <c r="F433" s="3">
        <v>199472</v>
      </c>
      <c r="G433" s="3">
        <v>2194192</v>
      </c>
      <c r="H433" s="1" t="str">
        <f t="shared" si="12"/>
        <v>High</v>
      </c>
      <c r="I433" s="1" t="str">
        <f t="shared" si="13"/>
        <v>Laptop</v>
      </c>
    </row>
    <row r="434" spans="1:9" ht="13.2" x14ac:dyDescent="0.25">
      <c r="A434" s="1">
        <v>433</v>
      </c>
      <c r="B434" s="1" t="s">
        <v>11</v>
      </c>
      <c r="C434" s="1" t="s">
        <v>15</v>
      </c>
      <c r="D434" s="1" t="s">
        <v>13</v>
      </c>
      <c r="E434" s="1">
        <v>8</v>
      </c>
      <c r="F434" s="3">
        <v>93380</v>
      </c>
      <c r="G434" s="3">
        <v>747040</v>
      </c>
      <c r="H434" s="1" t="str">
        <f t="shared" si="12"/>
        <v>Low</v>
      </c>
      <c r="I434" s="1" t="str">
        <f t="shared" si="13"/>
        <v>Phone</v>
      </c>
    </row>
    <row r="435" spans="1:9" ht="13.2" x14ac:dyDescent="0.25">
      <c r="A435" s="1">
        <v>434</v>
      </c>
      <c r="B435" s="1" t="s">
        <v>11</v>
      </c>
      <c r="C435" s="1" t="s">
        <v>19</v>
      </c>
      <c r="D435" s="1" t="s">
        <v>21</v>
      </c>
      <c r="E435" s="1">
        <v>6</v>
      </c>
      <c r="F435" s="3">
        <v>115661</v>
      </c>
      <c r="G435" s="3">
        <v>693966</v>
      </c>
      <c r="H435" s="1" t="str">
        <f t="shared" si="12"/>
        <v>Low</v>
      </c>
      <c r="I435" s="1" t="str">
        <f t="shared" si="13"/>
        <v>Phone</v>
      </c>
    </row>
    <row r="436" spans="1:9" ht="13.2" x14ac:dyDescent="0.25">
      <c r="A436" s="1">
        <v>435</v>
      </c>
      <c r="B436" s="1" t="s">
        <v>5</v>
      </c>
      <c r="C436" s="1" t="s">
        <v>10</v>
      </c>
      <c r="D436" s="1" t="s">
        <v>14</v>
      </c>
      <c r="E436" s="1">
        <v>16</v>
      </c>
      <c r="F436" s="3">
        <v>121852</v>
      </c>
      <c r="G436" s="3">
        <v>1949632</v>
      </c>
      <c r="H436" s="1" t="str">
        <f t="shared" si="12"/>
        <v>High</v>
      </c>
      <c r="I436" s="1" t="str">
        <f t="shared" si="13"/>
        <v>Laptop</v>
      </c>
    </row>
    <row r="437" spans="1:9" ht="13.2" x14ac:dyDescent="0.25">
      <c r="A437" s="1">
        <v>436</v>
      </c>
      <c r="B437" s="1" t="s">
        <v>11</v>
      </c>
      <c r="C437" s="1" t="s">
        <v>19</v>
      </c>
      <c r="D437" s="1" t="s">
        <v>7</v>
      </c>
      <c r="E437" s="1">
        <v>13</v>
      </c>
      <c r="F437" s="3">
        <v>116481</v>
      </c>
      <c r="G437" s="3">
        <v>1514253</v>
      </c>
      <c r="H437" s="1" t="str">
        <f t="shared" si="12"/>
        <v>High</v>
      </c>
      <c r="I437" s="1" t="str">
        <f t="shared" si="13"/>
        <v>Phone</v>
      </c>
    </row>
    <row r="438" spans="1:9" ht="13.2" x14ac:dyDescent="0.25">
      <c r="A438" s="1">
        <v>437</v>
      </c>
      <c r="B438" s="1" t="s">
        <v>5</v>
      </c>
      <c r="C438" s="1" t="s">
        <v>8</v>
      </c>
      <c r="D438" s="1" t="s">
        <v>21</v>
      </c>
      <c r="E438" s="1">
        <v>5</v>
      </c>
      <c r="F438" s="3">
        <v>116819</v>
      </c>
      <c r="G438" s="3">
        <v>584095</v>
      </c>
      <c r="H438" s="1" t="str">
        <f t="shared" si="12"/>
        <v>Low</v>
      </c>
      <c r="I438" s="1" t="str">
        <f t="shared" si="13"/>
        <v>Laptop</v>
      </c>
    </row>
    <row r="439" spans="1:9" ht="13.2" x14ac:dyDescent="0.25">
      <c r="A439" s="1">
        <v>438</v>
      </c>
      <c r="B439" s="1" t="s">
        <v>16</v>
      </c>
      <c r="C439" s="1" t="s">
        <v>20</v>
      </c>
      <c r="D439" s="1" t="s">
        <v>21</v>
      </c>
      <c r="E439" s="1">
        <v>5</v>
      </c>
      <c r="F439" s="3">
        <v>55036</v>
      </c>
      <c r="G439" s="3">
        <v>275180</v>
      </c>
      <c r="H439" s="1" t="str">
        <f t="shared" si="12"/>
        <v>Low</v>
      </c>
      <c r="I439" s="1" t="str">
        <f t="shared" si="13"/>
        <v>Tablet</v>
      </c>
    </row>
    <row r="440" spans="1:9" ht="13.2" x14ac:dyDescent="0.25">
      <c r="A440" s="1">
        <v>439</v>
      </c>
      <c r="B440" s="1" t="s">
        <v>16</v>
      </c>
      <c r="C440" s="1" t="s">
        <v>20</v>
      </c>
      <c r="D440" s="1" t="s">
        <v>13</v>
      </c>
      <c r="E440" s="1">
        <v>6</v>
      </c>
      <c r="F440" s="3">
        <v>56299</v>
      </c>
      <c r="G440" s="3">
        <v>337794</v>
      </c>
      <c r="H440" s="1" t="str">
        <f t="shared" si="12"/>
        <v>Low</v>
      </c>
      <c r="I440" s="1" t="str">
        <f t="shared" si="13"/>
        <v>Tablet</v>
      </c>
    </row>
    <row r="441" spans="1:9" ht="13.2" x14ac:dyDescent="0.25">
      <c r="A441" s="1">
        <v>440</v>
      </c>
      <c r="B441" s="1" t="s">
        <v>16</v>
      </c>
      <c r="C441" s="1" t="s">
        <v>17</v>
      </c>
      <c r="D441" s="1" t="s">
        <v>7</v>
      </c>
      <c r="E441" s="1">
        <v>12</v>
      </c>
      <c r="F441" s="3">
        <v>58888</v>
      </c>
      <c r="G441" s="3">
        <v>706656</v>
      </c>
      <c r="H441" s="1" t="str">
        <f t="shared" si="12"/>
        <v>Low</v>
      </c>
      <c r="I441" s="1" t="str">
        <f t="shared" si="13"/>
        <v>Tablet</v>
      </c>
    </row>
    <row r="442" spans="1:9" ht="13.2" x14ac:dyDescent="0.25">
      <c r="A442" s="1">
        <v>441</v>
      </c>
      <c r="B442" s="1" t="s">
        <v>16</v>
      </c>
      <c r="C442" s="1" t="s">
        <v>17</v>
      </c>
      <c r="D442" s="1" t="s">
        <v>14</v>
      </c>
      <c r="E442" s="1">
        <v>12</v>
      </c>
      <c r="F442" s="3">
        <v>99165</v>
      </c>
      <c r="G442" s="3">
        <v>1189980</v>
      </c>
      <c r="H442" s="1" t="str">
        <f t="shared" si="12"/>
        <v>High</v>
      </c>
      <c r="I442" s="1" t="str">
        <f t="shared" si="13"/>
        <v>Tablet</v>
      </c>
    </row>
    <row r="443" spans="1:9" ht="13.2" x14ac:dyDescent="0.25">
      <c r="A443" s="1">
        <v>442</v>
      </c>
      <c r="B443" s="1" t="s">
        <v>16</v>
      </c>
      <c r="C443" s="1" t="s">
        <v>20</v>
      </c>
      <c r="D443" s="1" t="s">
        <v>7</v>
      </c>
      <c r="E443" s="1">
        <v>1</v>
      </c>
      <c r="F443" s="3">
        <v>99042</v>
      </c>
      <c r="G443" s="3">
        <v>99042</v>
      </c>
      <c r="H443" s="1" t="str">
        <f t="shared" si="12"/>
        <v>Low</v>
      </c>
      <c r="I443" s="1" t="str">
        <f t="shared" si="13"/>
        <v>Tablet</v>
      </c>
    </row>
    <row r="444" spans="1:9" ht="13.2" x14ac:dyDescent="0.25">
      <c r="A444" s="1">
        <v>443</v>
      </c>
      <c r="B444" s="1" t="s">
        <v>11</v>
      </c>
      <c r="C444" s="1" t="s">
        <v>15</v>
      </c>
      <c r="D444" s="1" t="s">
        <v>21</v>
      </c>
      <c r="E444" s="1">
        <v>15</v>
      </c>
      <c r="F444" s="3">
        <v>89009</v>
      </c>
      <c r="G444" s="3">
        <v>1335135</v>
      </c>
      <c r="H444" s="1" t="str">
        <f t="shared" si="12"/>
        <v>High</v>
      </c>
      <c r="I444" s="1" t="str">
        <f t="shared" si="13"/>
        <v>Phone</v>
      </c>
    </row>
    <row r="445" spans="1:9" ht="13.2" x14ac:dyDescent="0.25">
      <c r="A445" s="1">
        <v>444</v>
      </c>
      <c r="B445" s="1" t="s">
        <v>5</v>
      </c>
      <c r="C445" s="1" t="s">
        <v>10</v>
      </c>
      <c r="D445" s="1" t="s">
        <v>13</v>
      </c>
      <c r="E445" s="1">
        <v>17</v>
      </c>
      <c r="F445" s="3">
        <v>239130</v>
      </c>
      <c r="G445" s="3">
        <v>4065210</v>
      </c>
      <c r="H445" s="1" t="str">
        <f t="shared" si="12"/>
        <v>High</v>
      </c>
      <c r="I445" s="1" t="str">
        <f t="shared" si="13"/>
        <v>Laptop</v>
      </c>
    </row>
    <row r="446" spans="1:9" ht="13.2" x14ac:dyDescent="0.25">
      <c r="A446" s="1">
        <v>445</v>
      </c>
      <c r="B446" s="1" t="s">
        <v>5</v>
      </c>
      <c r="C446" s="1" t="s">
        <v>6</v>
      </c>
      <c r="D446" s="1" t="s">
        <v>9</v>
      </c>
      <c r="E446" s="1">
        <v>16</v>
      </c>
      <c r="F446" s="3">
        <v>231559</v>
      </c>
      <c r="G446" s="3">
        <v>3704944</v>
      </c>
      <c r="H446" s="1" t="str">
        <f t="shared" si="12"/>
        <v>High</v>
      </c>
      <c r="I446" s="1" t="str">
        <f t="shared" si="13"/>
        <v>Laptop</v>
      </c>
    </row>
    <row r="447" spans="1:9" ht="13.2" x14ac:dyDescent="0.25">
      <c r="A447" s="1">
        <v>446</v>
      </c>
      <c r="B447" s="1" t="s">
        <v>5</v>
      </c>
      <c r="C447" s="1" t="s">
        <v>8</v>
      </c>
      <c r="D447" s="1" t="s">
        <v>21</v>
      </c>
      <c r="E447" s="1">
        <v>6</v>
      </c>
      <c r="F447" s="3">
        <v>118795</v>
      </c>
      <c r="G447" s="3">
        <v>712770</v>
      </c>
      <c r="H447" s="1" t="str">
        <f t="shared" si="12"/>
        <v>Low</v>
      </c>
      <c r="I447" s="1" t="str">
        <f t="shared" si="13"/>
        <v>Laptop</v>
      </c>
    </row>
    <row r="448" spans="1:9" ht="13.2" x14ac:dyDescent="0.25">
      <c r="A448" s="1">
        <v>447</v>
      </c>
      <c r="B448" s="1" t="s">
        <v>5</v>
      </c>
      <c r="C448" s="1" t="s">
        <v>8</v>
      </c>
      <c r="D448" s="1" t="s">
        <v>14</v>
      </c>
      <c r="E448" s="1">
        <v>3</v>
      </c>
      <c r="F448" s="3">
        <v>177960</v>
      </c>
      <c r="G448" s="3">
        <v>533880</v>
      </c>
      <c r="H448" s="1" t="str">
        <f t="shared" si="12"/>
        <v>Low</v>
      </c>
      <c r="I448" s="1" t="str">
        <f t="shared" si="13"/>
        <v>Laptop</v>
      </c>
    </row>
    <row r="449" spans="1:9" ht="13.2" x14ac:dyDescent="0.25">
      <c r="A449" s="1">
        <v>448</v>
      </c>
      <c r="B449" s="1" t="s">
        <v>5</v>
      </c>
      <c r="C449" s="1" t="s">
        <v>6</v>
      </c>
      <c r="D449" s="1" t="s">
        <v>21</v>
      </c>
      <c r="E449" s="1">
        <v>14</v>
      </c>
      <c r="F449" s="3">
        <v>245024</v>
      </c>
      <c r="G449" s="3">
        <v>3430336</v>
      </c>
      <c r="H449" s="1" t="str">
        <f t="shared" si="12"/>
        <v>High</v>
      </c>
      <c r="I449" s="1" t="str">
        <f t="shared" si="13"/>
        <v>Laptop</v>
      </c>
    </row>
    <row r="450" spans="1:9" ht="13.2" x14ac:dyDescent="0.25">
      <c r="A450" s="1">
        <v>449</v>
      </c>
      <c r="B450" s="1" t="s">
        <v>5</v>
      </c>
      <c r="C450" s="1" t="s">
        <v>6</v>
      </c>
      <c r="D450" s="1" t="s">
        <v>13</v>
      </c>
      <c r="E450" s="1">
        <v>15</v>
      </c>
      <c r="F450" s="3">
        <v>216688</v>
      </c>
      <c r="G450" s="3">
        <v>3250320</v>
      </c>
      <c r="H450" s="1" t="str">
        <f t="shared" ref="H450:H501" si="14">IF(G450&gt;1000000,"High","Low")</f>
        <v>High</v>
      </c>
      <c r="I450" s="1" t="str">
        <f t="shared" ref="I450:I501" si="15">IF(B450="MacBook","Laptop",
   IF(B450="iPhone","Phone",
   IF(B450="iPad","Tablet","Other")))</f>
        <v>Laptop</v>
      </c>
    </row>
    <row r="451" spans="1:9" ht="13.2" x14ac:dyDescent="0.25">
      <c r="A451" s="1">
        <v>450</v>
      </c>
      <c r="B451" s="1" t="s">
        <v>5</v>
      </c>
      <c r="C451" s="1" t="s">
        <v>8</v>
      </c>
      <c r="D451" s="1" t="s">
        <v>9</v>
      </c>
      <c r="E451" s="1">
        <v>2</v>
      </c>
      <c r="F451" s="3">
        <v>223669</v>
      </c>
      <c r="G451" s="3">
        <v>447338</v>
      </c>
      <c r="H451" s="1" t="str">
        <f t="shared" si="14"/>
        <v>Low</v>
      </c>
      <c r="I451" s="1" t="str">
        <f t="shared" si="15"/>
        <v>Laptop</v>
      </c>
    </row>
    <row r="452" spans="1:9" ht="13.2" x14ac:dyDescent="0.25">
      <c r="A452" s="1">
        <v>451</v>
      </c>
      <c r="B452" s="1" t="s">
        <v>11</v>
      </c>
      <c r="C452" s="1" t="s">
        <v>19</v>
      </c>
      <c r="D452" s="1" t="s">
        <v>13</v>
      </c>
      <c r="E452" s="1">
        <v>3</v>
      </c>
      <c r="F452" s="3">
        <v>106738</v>
      </c>
      <c r="G452" s="3">
        <v>320214</v>
      </c>
      <c r="H452" s="1" t="str">
        <f t="shared" si="14"/>
        <v>Low</v>
      </c>
      <c r="I452" s="1" t="str">
        <f t="shared" si="15"/>
        <v>Phone</v>
      </c>
    </row>
    <row r="453" spans="1:9" ht="13.2" x14ac:dyDescent="0.25">
      <c r="A453" s="1">
        <v>452</v>
      </c>
      <c r="B453" s="1" t="s">
        <v>11</v>
      </c>
      <c r="C453" s="1" t="s">
        <v>12</v>
      </c>
      <c r="D453" s="1" t="s">
        <v>21</v>
      </c>
      <c r="E453" s="1">
        <v>8</v>
      </c>
      <c r="F453" s="3">
        <v>83383</v>
      </c>
      <c r="G453" s="3">
        <v>667064</v>
      </c>
      <c r="H453" s="1" t="str">
        <f t="shared" si="14"/>
        <v>Low</v>
      </c>
      <c r="I453" s="1" t="str">
        <f t="shared" si="15"/>
        <v>Phone</v>
      </c>
    </row>
    <row r="454" spans="1:9" ht="13.2" x14ac:dyDescent="0.25">
      <c r="A454" s="1">
        <v>453</v>
      </c>
      <c r="B454" s="1" t="s">
        <v>5</v>
      </c>
      <c r="C454" s="1" t="s">
        <v>10</v>
      </c>
      <c r="D454" s="1" t="s">
        <v>21</v>
      </c>
      <c r="E454" s="1">
        <v>19</v>
      </c>
      <c r="F454" s="3">
        <v>242850</v>
      </c>
      <c r="G454" s="3">
        <v>4614150</v>
      </c>
      <c r="H454" s="1" t="str">
        <f t="shared" si="14"/>
        <v>High</v>
      </c>
      <c r="I454" s="1" t="str">
        <f t="shared" si="15"/>
        <v>Laptop</v>
      </c>
    </row>
    <row r="455" spans="1:9" ht="13.2" x14ac:dyDescent="0.25">
      <c r="A455" s="1">
        <v>454</v>
      </c>
      <c r="B455" s="1" t="s">
        <v>11</v>
      </c>
      <c r="C455" s="1" t="s">
        <v>15</v>
      </c>
      <c r="D455" s="1" t="s">
        <v>9</v>
      </c>
      <c r="E455" s="1">
        <v>14</v>
      </c>
      <c r="F455" s="3">
        <v>67230</v>
      </c>
      <c r="G455" s="3">
        <v>941220</v>
      </c>
      <c r="H455" s="1" t="str">
        <f t="shared" si="14"/>
        <v>Low</v>
      </c>
      <c r="I455" s="1" t="str">
        <f t="shared" si="15"/>
        <v>Phone</v>
      </c>
    </row>
    <row r="456" spans="1:9" ht="13.2" x14ac:dyDescent="0.25">
      <c r="A456" s="1">
        <v>455</v>
      </c>
      <c r="B456" s="1" t="s">
        <v>5</v>
      </c>
      <c r="C456" s="1" t="s">
        <v>6</v>
      </c>
      <c r="D456" s="1" t="s">
        <v>14</v>
      </c>
      <c r="E456" s="1">
        <v>19</v>
      </c>
      <c r="F456" s="3">
        <v>225565</v>
      </c>
      <c r="G456" s="3">
        <v>4285735</v>
      </c>
      <c r="H456" s="1" t="str">
        <f t="shared" si="14"/>
        <v>High</v>
      </c>
      <c r="I456" s="1" t="str">
        <f t="shared" si="15"/>
        <v>Laptop</v>
      </c>
    </row>
    <row r="457" spans="1:9" ht="13.2" x14ac:dyDescent="0.25">
      <c r="A457" s="1">
        <v>456</v>
      </c>
      <c r="B457" s="1" t="s">
        <v>11</v>
      </c>
      <c r="C457" s="1" t="s">
        <v>12</v>
      </c>
      <c r="D457" s="1" t="s">
        <v>9</v>
      </c>
      <c r="E457" s="1">
        <v>9</v>
      </c>
      <c r="F457" s="3">
        <v>119711</v>
      </c>
      <c r="G457" s="3">
        <v>1077399</v>
      </c>
      <c r="H457" s="1" t="str">
        <f t="shared" si="14"/>
        <v>High</v>
      </c>
      <c r="I457" s="1" t="str">
        <f t="shared" si="15"/>
        <v>Phone</v>
      </c>
    </row>
    <row r="458" spans="1:9" ht="13.2" x14ac:dyDescent="0.25">
      <c r="A458" s="1">
        <v>457</v>
      </c>
      <c r="B458" s="1" t="s">
        <v>11</v>
      </c>
      <c r="C458" s="1" t="s">
        <v>19</v>
      </c>
      <c r="D458" s="1" t="s">
        <v>13</v>
      </c>
      <c r="E458" s="1">
        <v>11</v>
      </c>
      <c r="F458" s="3">
        <v>89492</v>
      </c>
      <c r="G458" s="3">
        <v>984412</v>
      </c>
      <c r="H458" s="1" t="str">
        <f t="shared" si="14"/>
        <v>Low</v>
      </c>
      <c r="I458" s="1" t="str">
        <f t="shared" si="15"/>
        <v>Phone</v>
      </c>
    </row>
    <row r="459" spans="1:9" ht="13.2" x14ac:dyDescent="0.25">
      <c r="A459" s="1">
        <v>458</v>
      </c>
      <c r="B459" s="1" t="s">
        <v>16</v>
      </c>
      <c r="C459" s="1" t="s">
        <v>20</v>
      </c>
      <c r="D459" s="1" t="s">
        <v>9</v>
      </c>
      <c r="E459" s="1">
        <v>9</v>
      </c>
      <c r="F459" s="3">
        <v>72762</v>
      </c>
      <c r="G459" s="3">
        <v>654858</v>
      </c>
      <c r="H459" s="1" t="str">
        <f t="shared" si="14"/>
        <v>Low</v>
      </c>
      <c r="I459" s="1" t="str">
        <f t="shared" si="15"/>
        <v>Tablet</v>
      </c>
    </row>
    <row r="460" spans="1:9" ht="13.2" x14ac:dyDescent="0.25">
      <c r="A460" s="1">
        <v>459</v>
      </c>
      <c r="B460" s="1" t="s">
        <v>16</v>
      </c>
      <c r="C460" s="1" t="s">
        <v>18</v>
      </c>
      <c r="D460" s="1" t="s">
        <v>14</v>
      </c>
      <c r="E460" s="1">
        <v>14</v>
      </c>
      <c r="F460" s="3">
        <v>92350</v>
      </c>
      <c r="G460" s="3">
        <v>1292900</v>
      </c>
      <c r="H460" s="1" t="str">
        <f t="shared" si="14"/>
        <v>High</v>
      </c>
      <c r="I460" s="1" t="str">
        <f t="shared" si="15"/>
        <v>Tablet</v>
      </c>
    </row>
    <row r="461" spans="1:9" ht="13.2" x14ac:dyDescent="0.25">
      <c r="A461" s="1">
        <v>460</v>
      </c>
      <c r="B461" s="1" t="s">
        <v>16</v>
      </c>
      <c r="C461" s="1" t="s">
        <v>18</v>
      </c>
      <c r="D461" s="1" t="s">
        <v>7</v>
      </c>
      <c r="E461" s="1">
        <v>16</v>
      </c>
      <c r="F461" s="3">
        <v>99659</v>
      </c>
      <c r="G461" s="3">
        <v>1594544</v>
      </c>
      <c r="H461" s="1" t="str">
        <f t="shared" si="14"/>
        <v>High</v>
      </c>
      <c r="I461" s="1" t="str">
        <f t="shared" si="15"/>
        <v>Tablet</v>
      </c>
    </row>
    <row r="462" spans="1:9" ht="13.2" x14ac:dyDescent="0.25">
      <c r="A462" s="1">
        <v>461</v>
      </c>
      <c r="B462" s="1" t="s">
        <v>11</v>
      </c>
      <c r="C462" s="1" t="s">
        <v>15</v>
      </c>
      <c r="D462" s="1" t="s">
        <v>13</v>
      </c>
      <c r="E462" s="1">
        <v>5</v>
      </c>
      <c r="F462" s="3">
        <v>73615</v>
      </c>
      <c r="G462" s="3">
        <v>368075</v>
      </c>
      <c r="H462" s="1" t="str">
        <f t="shared" si="14"/>
        <v>Low</v>
      </c>
      <c r="I462" s="1" t="str">
        <f t="shared" si="15"/>
        <v>Phone</v>
      </c>
    </row>
    <row r="463" spans="1:9" ht="13.2" x14ac:dyDescent="0.25">
      <c r="A463" s="1">
        <v>462</v>
      </c>
      <c r="B463" s="1" t="s">
        <v>11</v>
      </c>
      <c r="C463" s="1" t="s">
        <v>12</v>
      </c>
      <c r="D463" s="1" t="s">
        <v>13</v>
      </c>
      <c r="E463" s="1">
        <v>9</v>
      </c>
      <c r="F463" s="3">
        <v>79900</v>
      </c>
      <c r="G463" s="3">
        <v>719100</v>
      </c>
      <c r="H463" s="1" t="str">
        <f t="shared" si="14"/>
        <v>Low</v>
      </c>
      <c r="I463" s="1" t="str">
        <f t="shared" si="15"/>
        <v>Phone</v>
      </c>
    </row>
    <row r="464" spans="1:9" ht="13.2" x14ac:dyDescent="0.25">
      <c r="A464" s="1">
        <v>463</v>
      </c>
      <c r="B464" s="1" t="s">
        <v>11</v>
      </c>
      <c r="C464" s="1" t="s">
        <v>19</v>
      </c>
      <c r="D464" s="1" t="s">
        <v>9</v>
      </c>
      <c r="E464" s="1">
        <v>1</v>
      </c>
      <c r="F464" s="3">
        <v>106087</v>
      </c>
      <c r="G464" s="3">
        <v>106087</v>
      </c>
      <c r="H464" s="1" t="str">
        <f t="shared" si="14"/>
        <v>Low</v>
      </c>
      <c r="I464" s="1" t="str">
        <f t="shared" si="15"/>
        <v>Phone</v>
      </c>
    </row>
    <row r="465" spans="1:9" ht="13.2" x14ac:dyDescent="0.25">
      <c r="A465" s="1">
        <v>464</v>
      </c>
      <c r="B465" s="1" t="s">
        <v>16</v>
      </c>
      <c r="C465" s="1" t="s">
        <v>20</v>
      </c>
      <c r="D465" s="1" t="s">
        <v>9</v>
      </c>
      <c r="E465" s="1">
        <v>15</v>
      </c>
      <c r="F465" s="3">
        <v>82856</v>
      </c>
      <c r="G465" s="3">
        <v>1242840</v>
      </c>
      <c r="H465" s="1" t="str">
        <f t="shared" si="14"/>
        <v>High</v>
      </c>
      <c r="I465" s="1" t="str">
        <f t="shared" si="15"/>
        <v>Tablet</v>
      </c>
    </row>
    <row r="466" spans="1:9" ht="13.2" x14ac:dyDescent="0.25">
      <c r="A466" s="1">
        <v>465</v>
      </c>
      <c r="B466" s="1" t="s">
        <v>11</v>
      </c>
      <c r="C466" s="1" t="s">
        <v>19</v>
      </c>
      <c r="D466" s="1" t="s">
        <v>21</v>
      </c>
      <c r="E466" s="1">
        <v>8</v>
      </c>
      <c r="F466" s="3">
        <v>74868</v>
      </c>
      <c r="G466" s="3">
        <v>598944</v>
      </c>
      <c r="H466" s="1" t="str">
        <f t="shared" si="14"/>
        <v>Low</v>
      </c>
      <c r="I466" s="1" t="str">
        <f t="shared" si="15"/>
        <v>Phone</v>
      </c>
    </row>
    <row r="467" spans="1:9" ht="13.2" x14ac:dyDescent="0.25">
      <c r="A467" s="1">
        <v>466</v>
      </c>
      <c r="B467" s="1" t="s">
        <v>11</v>
      </c>
      <c r="C467" s="1" t="s">
        <v>15</v>
      </c>
      <c r="D467" s="1" t="s">
        <v>14</v>
      </c>
      <c r="E467" s="1">
        <v>4</v>
      </c>
      <c r="F467" s="3">
        <v>78230</v>
      </c>
      <c r="G467" s="3">
        <v>312920</v>
      </c>
      <c r="H467" s="1" t="str">
        <f t="shared" si="14"/>
        <v>Low</v>
      </c>
      <c r="I467" s="1" t="str">
        <f t="shared" si="15"/>
        <v>Phone</v>
      </c>
    </row>
    <row r="468" spans="1:9" ht="13.2" x14ac:dyDescent="0.25">
      <c r="A468" s="1">
        <v>467</v>
      </c>
      <c r="B468" s="1" t="s">
        <v>5</v>
      </c>
      <c r="C468" s="1" t="s">
        <v>10</v>
      </c>
      <c r="D468" s="1" t="s">
        <v>13</v>
      </c>
      <c r="E468" s="1">
        <v>12</v>
      </c>
      <c r="F468" s="3">
        <v>107569</v>
      </c>
      <c r="G468" s="3">
        <v>1290828</v>
      </c>
      <c r="H468" s="1" t="str">
        <f t="shared" si="14"/>
        <v>High</v>
      </c>
      <c r="I468" s="1" t="str">
        <f t="shared" si="15"/>
        <v>Laptop</v>
      </c>
    </row>
    <row r="469" spans="1:9" ht="13.2" x14ac:dyDescent="0.25">
      <c r="A469" s="1">
        <v>468</v>
      </c>
      <c r="B469" s="1" t="s">
        <v>5</v>
      </c>
      <c r="C469" s="1" t="s">
        <v>6</v>
      </c>
      <c r="D469" s="1" t="s">
        <v>21</v>
      </c>
      <c r="E469" s="1">
        <v>1</v>
      </c>
      <c r="F469" s="3">
        <v>130197</v>
      </c>
      <c r="G469" s="3">
        <v>130197</v>
      </c>
      <c r="H469" s="1" t="str">
        <f t="shared" si="14"/>
        <v>Low</v>
      </c>
      <c r="I469" s="1" t="str">
        <f t="shared" si="15"/>
        <v>Laptop</v>
      </c>
    </row>
    <row r="470" spans="1:9" ht="13.2" x14ac:dyDescent="0.25">
      <c r="A470" s="1">
        <v>469</v>
      </c>
      <c r="B470" s="1" t="s">
        <v>16</v>
      </c>
      <c r="C470" s="1" t="s">
        <v>18</v>
      </c>
      <c r="D470" s="1" t="s">
        <v>13</v>
      </c>
      <c r="E470" s="1">
        <v>12</v>
      </c>
      <c r="F470" s="3">
        <v>81689</v>
      </c>
      <c r="G470" s="3">
        <v>980268</v>
      </c>
      <c r="H470" s="1" t="str">
        <f t="shared" si="14"/>
        <v>Low</v>
      </c>
      <c r="I470" s="1" t="str">
        <f t="shared" si="15"/>
        <v>Tablet</v>
      </c>
    </row>
    <row r="471" spans="1:9" ht="13.2" x14ac:dyDescent="0.25">
      <c r="A471" s="1">
        <v>470</v>
      </c>
      <c r="B471" s="1" t="s">
        <v>16</v>
      </c>
      <c r="C471" s="1" t="s">
        <v>18</v>
      </c>
      <c r="D471" s="1" t="s">
        <v>13</v>
      </c>
      <c r="E471" s="1">
        <v>13</v>
      </c>
      <c r="F471" s="3">
        <v>69538</v>
      </c>
      <c r="G471" s="3">
        <v>903994</v>
      </c>
      <c r="H471" s="1" t="str">
        <f t="shared" si="14"/>
        <v>Low</v>
      </c>
      <c r="I471" s="1" t="str">
        <f t="shared" si="15"/>
        <v>Tablet</v>
      </c>
    </row>
    <row r="472" spans="1:9" ht="13.2" x14ac:dyDescent="0.25">
      <c r="A472" s="1">
        <v>471</v>
      </c>
      <c r="B472" s="1" t="s">
        <v>11</v>
      </c>
      <c r="C472" s="1" t="s">
        <v>12</v>
      </c>
      <c r="D472" s="1" t="s">
        <v>21</v>
      </c>
      <c r="E472" s="1">
        <v>13</v>
      </c>
      <c r="F472" s="3">
        <v>81180</v>
      </c>
      <c r="G472" s="3">
        <v>1055340</v>
      </c>
      <c r="H472" s="1" t="str">
        <f t="shared" si="14"/>
        <v>High</v>
      </c>
      <c r="I472" s="1" t="str">
        <f t="shared" si="15"/>
        <v>Phone</v>
      </c>
    </row>
    <row r="473" spans="1:9" ht="13.2" x14ac:dyDescent="0.25">
      <c r="A473" s="1">
        <v>472</v>
      </c>
      <c r="B473" s="1" t="s">
        <v>16</v>
      </c>
      <c r="C473" s="1" t="s">
        <v>17</v>
      </c>
      <c r="D473" s="1" t="s">
        <v>14</v>
      </c>
      <c r="E473" s="1">
        <v>1</v>
      </c>
      <c r="F473" s="3">
        <v>70502</v>
      </c>
      <c r="G473" s="3">
        <v>70502</v>
      </c>
      <c r="H473" s="1" t="str">
        <f t="shared" si="14"/>
        <v>Low</v>
      </c>
      <c r="I473" s="1" t="str">
        <f t="shared" si="15"/>
        <v>Tablet</v>
      </c>
    </row>
    <row r="474" spans="1:9" ht="13.2" x14ac:dyDescent="0.25">
      <c r="A474" s="1">
        <v>473</v>
      </c>
      <c r="B474" s="1" t="s">
        <v>11</v>
      </c>
      <c r="C474" s="1" t="s">
        <v>19</v>
      </c>
      <c r="D474" s="1" t="s">
        <v>14</v>
      </c>
      <c r="E474" s="1">
        <v>10</v>
      </c>
      <c r="F474" s="3">
        <v>65482</v>
      </c>
      <c r="G474" s="3">
        <v>654820</v>
      </c>
      <c r="H474" s="1" t="str">
        <f t="shared" si="14"/>
        <v>Low</v>
      </c>
      <c r="I474" s="1" t="str">
        <f t="shared" si="15"/>
        <v>Phone</v>
      </c>
    </row>
    <row r="475" spans="1:9" ht="13.2" x14ac:dyDescent="0.25">
      <c r="A475" s="1">
        <v>474</v>
      </c>
      <c r="B475" s="1" t="s">
        <v>11</v>
      </c>
      <c r="C475" s="1" t="s">
        <v>12</v>
      </c>
      <c r="D475" s="1" t="s">
        <v>13</v>
      </c>
      <c r="E475" s="1">
        <v>17</v>
      </c>
      <c r="F475" s="3">
        <v>93623</v>
      </c>
      <c r="G475" s="3">
        <v>1591591</v>
      </c>
      <c r="H475" s="1" t="str">
        <f t="shared" si="14"/>
        <v>High</v>
      </c>
      <c r="I475" s="1" t="str">
        <f t="shared" si="15"/>
        <v>Phone</v>
      </c>
    </row>
    <row r="476" spans="1:9" ht="13.2" x14ac:dyDescent="0.25">
      <c r="A476" s="1">
        <v>475</v>
      </c>
      <c r="B476" s="1" t="s">
        <v>5</v>
      </c>
      <c r="C476" s="1" t="s">
        <v>8</v>
      </c>
      <c r="D476" s="1" t="s">
        <v>13</v>
      </c>
      <c r="E476" s="1">
        <v>9</v>
      </c>
      <c r="F476" s="3">
        <v>112207</v>
      </c>
      <c r="G476" s="3">
        <v>1009863</v>
      </c>
      <c r="H476" s="1" t="str">
        <f t="shared" si="14"/>
        <v>High</v>
      </c>
      <c r="I476" s="1" t="str">
        <f t="shared" si="15"/>
        <v>Laptop</v>
      </c>
    </row>
    <row r="477" spans="1:9" ht="13.2" x14ac:dyDescent="0.25">
      <c r="A477" s="1">
        <v>476</v>
      </c>
      <c r="B477" s="1" t="s">
        <v>16</v>
      </c>
      <c r="C477" s="1" t="s">
        <v>17</v>
      </c>
      <c r="D477" s="1" t="s">
        <v>14</v>
      </c>
      <c r="E477" s="1">
        <v>11</v>
      </c>
      <c r="F477" s="3">
        <v>99518</v>
      </c>
      <c r="G477" s="3">
        <v>1094698</v>
      </c>
      <c r="H477" s="1" t="str">
        <f t="shared" si="14"/>
        <v>High</v>
      </c>
      <c r="I477" s="1" t="str">
        <f t="shared" si="15"/>
        <v>Tablet</v>
      </c>
    </row>
    <row r="478" spans="1:9" ht="13.2" x14ac:dyDescent="0.25">
      <c r="A478" s="1">
        <v>477</v>
      </c>
      <c r="B478" s="1" t="s">
        <v>11</v>
      </c>
      <c r="C478" s="1" t="s">
        <v>15</v>
      </c>
      <c r="D478" s="1" t="s">
        <v>14</v>
      </c>
      <c r="E478" s="1">
        <v>12</v>
      </c>
      <c r="F478" s="3">
        <v>105639</v>
      </c>
      <c r="G478" s="3">
        <v>1267668</v>
      </c>
      <c r="H478" s="1" t="str">
        <f t="shared" si="14"/>
        <v>High</v>
      </c>
      <c r="I478" s="1" t="str">
        <f t="shared" si="15"/>
        <v>Phone</v>
      </c>
    </row>
    <row r="479" spans="1:9" ht="13.2" x14ac:dyDescent="0.25">
      <c r="A479" s="1">
        <v>478</v>
      </c>
      <c r="B479" s="1" t="s">
        <v>16</v>
      </c>
      <c r="C479" s="1" t="s">
        <v>17</v>
      </c>
      <c r="D479" s="1" t="s">
        <v>14</v>
      </c>
      <c r="E479" s="1">
        <v>5</v>
      </c>
      <c r="F479" s="3">
        <v>88280</v>
      </c>
      <c r="G479" s="3">
        <v>441400</v>
      </c>
      <c r="H479" s="1" t="str">
        <f t="shared" si="14"/>
        <v>Low</v>
      </c>
      <c r="I479" s="1" t="str">
        <f t="shared" si="15"/>
        <v>Tablet</v>
      </c>
    </row>
    <row r="480" spans="1:9" ht="13.2" x14ac:dyDescent="0.25">
      <c r="A480" s="1">
        <v>479</v>
      </c>
      <c r="B480" s="1" t="s">
        <v>5</v>
      </c>
      <c r="C480" s="1" t="s">
        <v>8</v>
      </c>
      <c r="D480" s="1" t="s">
        <v>7</v>
      </c>
      <c r="E480" s="1">
        <v>17</v>
      </c>
      <c r="F480" s="3">
        <v>113377</v>
      </c>
      <c r="G480" s="3">
        <v>1927409</v>
      </c>
      <c r="H480" s="1" t="str">
        <f t="shared" si="14"/>
        <v>High</v>
      </c>
      <c r="I480" s="1" t="str">
        <f t="shared" si="15"/>
        <v>Laptop</v>
      </c>
    </row>
    <row r="481" spans="1:9" ht="13.2" x14ac:dyDescent="0.25">
      <c r="A481" s="1">
        <v>480</v>
      </c>
      <c r="B481" s="1" t="s">
        <v>16</v>
      </c>
      <c r="C481" s="1" t="s">
        <v>20</v>
      </c>
      <c r="D481" s="1" t="s">
        <v>9</v>
      </c>
      <c r="E481" s="1">
        <v>1</v>
      </c>
      <c r="F481" s="3">
        <v>56977</v>
      </c>
      <c r="G481" s="3">
        <v>56977</v>
      </c>
      <c r="H481" s="1" t="str">
        <f t="shared" si="14"/>
        <v>Low</v>
      </c>
      <c r="I481" s="1" t="str">
        <f t="shared" si="15"/>
        <v>Tablet</v>
      </c>
    </row>
    <row r="482" spans="1:9" ht="13.2" x14ac:dyDescent="0.25">
      <c r="A482" s="1">
        <v>481</v>
      </c>
      <c r="B482" s="1" t="s">
        <v>11</v>
      </c>
      <c r="C482" s="1" t="s">
        <v>12</v>
      </c>
      <c r="D482" s="1" t="s">
        <v>21</v>
      </c>
      <c r="E482" s="1">
        <v>12</v>
      </c>
      <c r="F482" s="3">
        <v>104409</v>
      </c>
      <c r="G482" s="3">
        <v>1252908</v>
      </c>
      <c r="H482" s="1" t="str">
        <f t="shared" si="14"/>
        <v>High</v>
      </c>
      <c r="I482" s="1" t="str">
        <f t="shared" si="15"/>
        <v>Phone</v>
      </c>
    </row>
    <row r="483" spans="1:9" ht="13.2" x14ac:dyDescent="0.25">
      <c r="A483" s="1">
        <v>482</v>
      </c>
      <c r="B483" s="1" t="s">
        <v>5</v>
      </c>
      <c r="C483" s="1" t="s">
        <v>10</v>
      </c>
      <c r="D483" s="1" t="s">
        <v>14</v>
      </c>
      <c r="E483" s="1">
        <v>9</v>
      </c>
      <c r="F483" s="3">
        <v>231130</v>
      </c>
      <c r="G483" s="3">
        <v>2080170</v>
      </c>
      <c r="H483" s="1" t="str">
        <f t="shared" si="14"/>
        <v>High</v>
      </c>
      <c r="I483" s="1" t="str">
        <f t="shared" si="15"/>
        <v>Laptop</v>
      </c>
    </row>
    <row r="484" spans="1:9" ht="13.2" x14ac:dyDescent="0.25">
      <c r="A484" s="1">
        <v>483</v>
      </c>
      <c r="B484" s="1" t="s">
        <v>16</v>
      </c>
      <c r="C484" s="1" t="s">
        <v>20</v>
      </c>
      <c r="D484" s="1" t="s">
        <v>21</v>
      </c>
      <c r="E484" s="1">
        <v>18</v>
      </c>
      <c r="F484" s="3">
        <v>51381</v>
      </c>
      <c r="G484" s="3">
        <v>924858</v>
      </c>
      <c r="H484" s="1" t="str">
        <f t="shared" si="14"/>
        <v>Low</v>
      </c>
      <c r="I484" s="1" t="str">
        <f t="shared" si="15"/>
        <v>Tablet</v>
      </c>
    </row>
    <row r="485" spans="1:9" ht="13.2" x14ac:dyDescent="0.25">
      <c r="A485" s="1">
        <v>484</v>
      </c>
      <c r="B485" s="1" t="s">
        <v>5</v>
      </c>
      <c r="C485" s="1" t="s">
        <v>8</v>
      </c>
      <c r="D485" s="1" t="s">
        <v>7</v>
      </c>
      <c r="E485" s="1">
        <v>6</v>
      </c>
      <c r="F485" s="3">
        <v>227103</v>
      </c>
      <c r="G485" s="3">
        <v>1362618</v>
      </c>
      <c r="H485" s="1" t="str">
        <f t="shared" si="14"/>
        <v>High</v>
      </c>
      <c r="I485" s="1" t="str">
        <f t="shared" si="15"/>
        <v>Laptop</v>
      </c>
    </row>
    <row r="486" spans="1:9" ht="13.2" x14ac:dyDescent="0.25">
      <c r="A486" s="1">
        <v>485</v>
      </c>
      <c r="B486" s="1" t="s">
        <v>11</v>
      </c>
      <c r="C486" s="1" t="s">
        <v>12</v>
      </c>
      <c r="D486" s="1" t="s">
        <v>7</v>
      </c>
      <c r="E486" s="1">
        <v>12</v>
      </c>
      <c r="F486" s="3">
        <v>111618</v>
      </c>
      <c r="G486" s="3">
        <v>1339416</v>
      </c>
      <c r="H486" s="1" t="str">
        <f t="shared" si="14"/>
        <v>High</v>
      </c>
      <c r="I486" s="1" t="str">
        <f t="shared" si="15"/>
        <v>Phone</v>
      </c>
    </row>
    <row r="487" spans="1:9" ht="13.2" x14ac:dyDescent="0.25">
      <c r="A487" s="1">
        <v>486</v>
      </c>
      <c r="B487" s="1" t="s">
        <v>11</v>
      </c>
      <c r="C487" s="1" t="s">
        <v>12</v>
      </c>
      <c r="D487" s="1" t="s">
        <v>21</v>
      </c>
      <c r="E487" s="1">
        <v>17</v>
      </c>
      <c r="F487" s="3">
        <v>69342</v>
      </c>
      <c r="G487" s="3">
        <v>1178814</v>
      </c>
      <c r="H487" s="1" t="str">
        <f t="shared" si="14"/>
        <v>High</v>
      </c>
      <c r="I487" s="1" t="str">
        <f t="shared" si="15"/>
        <v>Phone</v>
      </c>
    </row>
    <row r="488" spans="1:9" ht="13.2" x14ac:dyDescent="0.25">
      <c r="A488" s="1">
        <v>487</v>
      </c>
      <c r="B488" s="1" t="s">
        <v>16</v>
      </c>
      <c r="C488" s="1" t="s">
        <v>18</v>
      </c>
      <c r="D488" s="1" t="s">
        <v>9</v>
      </c>
      <c r="E488" s="1">
        <v>11</v>
      </c>
      <c r="F488" s="3">
        <v>75426</v>
      </c>
      <c r="G488" s="3">
        <v>829686</v>
      </c>
      <c r="H488" s="1" t="str">
        <f t="shared" si="14"/>
        <v>Low</v>
      </c>
      <c r="I488" s="1" t="str">
        <f t="shared" si="15"/>
        <v>Tablet</v>
      </c>
    </row>
    <row r="489" spans="1:9" ht="13.2" x14ac:dyDescent="0.25">
      <c r="A489" s="1">
        <v>488</v>
      </c>
      <c r="B489" s="1" t="s">
        <v>16</v>
      </c>
      <c r="C489" s="1" t="s">
        <v>17</v>
      </c>
      <c r="D489" s="1" t="s">
        <v>21</v>
      </c>
      <c r="E489" s="1">
        <v>3</v>
      </c>
      <c r="F489" s="3">
        <v>92395</v>
      </c>
      <c r="G489" s="3">
        <v>277185</v>
      </c>
      <c r="H489" s="1" t="str">
        <f t="shared" si="14"/>
        <v>Low</v>
      </c>
      <c r="I489" s="1" t="str">
        <f t="shared" si="15"/>
        <v>Tablet</v>
      </c>
    </row>
    <row r="490" spans="1:9" ht="13.2" x14ac:dyDescent="0.25">
      <c r="A490" s="1">
        <v>489</v>
      </c>
      <c r="B490" s="1" t="s">
        <v>5</v>
      </c>
      <c r="C490" s="1" t="s">
        <v>8</v>
      </c>
      <c r="D490" s="1" t="s">
        <v>13</v>
      </c>
      <c r="E490" s="1">
        <v>8</v>
      </c>
      <c r="F490" s="3">
        <v>165769</v>
      </c>
      <c r="G490" s="3">
        <v>1326152</v>
      </c>
      <c r="H490" s="1" t="str">
        <f t="shared" si="14"/>
        <v>High</v>
      </c>
      <c r="I490" s="1" t="str">
        <f t="shared" si="15"/>
        <v>Laptop</v>
      </c>
    </row>
    <row r="491" spans="1:9" ht="13.2" x14ac:dyDescent="0.25">
      <c r="A491" s="1">
        <v>490</v>
      </c>
      <c r="B491" s="1" t="s">
        <v>11</v>
      </c>
      <c r="C491" s="1" t="s">
        <v>19</v>
      </c>
      <c r="D491" s="1" t="s">
        <v>9</v>
      </c>
      <c r="E491" s="1">
        <v>4</v>
      </c>
      <c r="F491" s="3">
        <v>80384</v>
      </c>
      <c r="G491" s="3">
        <v>321536</v>
      </c>
      <c r="H491" s="1" t="str">
        <f t="shared" si="14"/>
        <v>Low</v>
      </c>
      <c r="I491" s="1" t="str">
        <f t="shared" si="15"/>
        <v>Phone</v>
      </c>
    </row>
    <row r="492" spans="1:9" ht="13.2" x14ac:dyDescent="0.25">
      <c r="A492" s="1">
        <v>491</v>
      </c>
      <c r="B492" s="1" t="s">
        <v>11</v>
      </c>
      <c r="C492" s="1" t="s">
        <v>15</v>
      </c>
      <c r="D492" s="1" t="s">
        <v>21</v>
      </c>
      <c r="E492" s="1">
        <v>4</v>
      </c>
      <c r="F492" s="3">
        <v>99332</v>
      </c>
      <c r="G492" s="3">
        <v>397328</v>
      </c>
      <c r="H492" s="1" t="str">
        <f t="shared" si="14"/>
        <v>Low</v>
      </c>
      <c r="I492" s="1" t="str">
        <f t="shared" si="15"/>
        <v>Phone</v>
      </c>
    </row>
    <row r="493" spans="1:9" ht="13.2" x14ac:dyDescent="0.25">
      <c r="A493" s="1">
        <v>492</v>
      </c>
      <c r="B493" s="1" t="s">
        <v>5</v>
      </c>
      <c r="C493" s="1" t="s">
        <v>8</v>
      </c>
      <c r="D493" s="1" t="s">
        <v>13</v>
      </c>
      <c r="E493" s="1">
        <v>10</v>
      </c>
      <c r="F493" s="3">
        <v>92011</v>
      </c>
      <c r="G493" s="3">
        <v>920110</v>
      </c>
      <c r="H493" s="1" t="str">
        <f t="shared" si="14"/>
        <v>Low</v>
      </c>
      <c r="I493" s="1" t="str">
        <f t="shared" si="15"/>
        <v>Laptop</v>
      </c>
    </row>
    <row r="494" spans="1:9" ht="13.2" x14ac:dyDescent="0.25">
      <c r="A494" s="1">
        <v>493</v>
      </c>
      <c r="B494" s="1" t="s">
        <v>5</v>
      </c>
      <c r="C494" s="1" t="s">
        <v>8</v>
      </c>
      <c r="D494" s="1" t="s">
        <v>14</v>
      </c>
      <c r="E494" s="1">
        <v>11</v>
      </c>
      <c r="F494" s="3">
        <v>229839</v>
      </c>
      <c r="G494" s="3">
        <v>2528229</v>
      </c>
      <c r="H494" s="1" t="str">
        <f t="shared" si="14"/>
        <v>High</v>
      </c>
      <c r="I494" s="1" t="str">
        <f t="shared" si="15"/>
        <v>Laptop</v>
      </c>
    </row>
    <row r="495" spans="1:9" ht="13.2" x14ac:dyDescent="0.25">
      <c r="A495" s="1">
        <v>494</v>
      </c>
      <c r="B495" s="1" t="s">
        <v>16</v>
      </c>
      <c r="C495" s="1" t="s">
        <v>20</v>
      </c>
      <c r="D495" s="1" t="s">
        <v>14</v>
      </c>
      <c r="E495" s="1">
        <v>1</v>
      </c>
      <c r="F495" s="3">
        <v>88515</v>
      </c>
      <c r="G495" s="3">
        <v>88515</v>
      </c>
      <c r="H495" s="1" t="str">
        <f t="shared" si="14"/>
        <v>Low</v>
      </c>
      <c r="I495" s="1" t="str">
        <f t="shared" si="15"/>
        <v>Tablet</v>
      </c>
    </row>
    <row r="496" spans="1:9" ht="13.2" x14ac:dyDescent="0.25">
      <c r="A496" s="1">
        <v>495</v>
      </c>
      <c r="B496" s="1" t="s">
        <v>16</v>
      </c>
      <c r="C496" s="1" t="s">
        <v>18</v>
      </c>
      <c r="D496" s="1" t="s">
        <v>13</v>
      </c>
      <c r="E496" s="1">
        <v>3</v>
      </c>
      <c r="F496" s="3">
        <v>44652</v>
      </c>
      <c r="G496" s="3">
        <v>133956</v>
      </c>
      <c r="H496" s="1" t="str">
        <f t="shared" si="14"/>
        <v>Low</v>
      </c>
      <c r="I496" s="1" t="str">
        <f t="shared" si="15"/>
        <v>Tablet</v>
      </c>
    </row>
    <row r="497" spans="1:9" ht="13.2" x14ac:dyDescent="0.25">
      <c r="A497" s="1">
        <v>496</v>
      </c>
      <c r="B497" s="1" t="s">
        <v>5</v>
      </c>
      <c r="C497" s="1" t="s">
        <v>10</v>
      </c>
      <c r="D497" s="1" t="s">
        <v>14</v>
      </c>
      <c r="E497" s="1">
        <v>19</v>
      </c>
      <c r="F497" s="3">
        <v>210956</v>
      </c>
      <c r="G497" s="3">
        <v>4008164</v>
      </c>
      <c r="H497" s="1" t="str">
        <f t="shared" si="14"/>
        <v>High</v>
      </c>
      <c r="I497" s="1" t="str">
        <f t="shared" si="15"/>
        <v>Laptop</v>
      </c>
    </row>
    <row r="498" spans="1:9" ht="13.2" x14ac:dyDescent="0.25">
      <c r="A498" s="1">
        <v>497</v>
      </c>
      <c r="B498" s="1" t="s">
        <v>16</v>
      </c>
      <c r="C498" s="1" t="s">
        <v>20</v>
      </c>
      <c r="D498" s="1" t="s">
        <v>7</v>
      </c>
      <c r="E498" s="1">
        <v>5</v>
      </c>
      <c r="F498" s="3">
        <v>58556</v>
      </c>
      <c r="G498" s="3">
        <v>292780</v>
      </c>
      <c r="H498" s="1" t="str">
        <f t="shared" si="14"/>
        <v>Low</v>
      </c>
      <c r="I498" s="1" t="str">
        <f t="shared" si="15"/>
        <v>Tablet</v>
      </c>
    </row>
    <row r="499" spans="1:9" ht="13.2" x14ac:dyDescent="0.25">
      <c r="A499" s="1">
        <v>498</v>
      </c>
      <c r="B499" s="1" t="s">
        <v>11</v>
      </c>
      <c r="C499" s="1" t="s">
        <v>15</v>
      </c>
      <c r="D499" s="1" t="s">
        <v>21</v>
      </c>
      <c r="E499" s="1">
        <v>6</v>
      </c>
      <c r="F499" s="3">
        <v>90403</v>
      </c>
      <c r="G499" s="3">
        <v>542418</v>
      </c>
      <c r="H499" s="1" t="str">
        <f t="shared" si="14"/>
        <v>Low</v>
      </c>
      <c r="I499" s="1" t="str">
        <f t="shared" si="15"/>
        <v>Phone</v>
      </c>
    </row>
    <row r="500" spans="1:9" ht="13.2" x14ac:dyDescent="0.25">
      <c r="A500" s="1">
        <v>499</v>
      </c>
      <c r="B500" s="1" t="s">
        <v>11</v>
      </c>
      <c r="C500" s="1" t="s">
        <v>12</v>
      </c>
      <c r="D500" s="1" t="s">
        <v>9</v>
      </c>
      <c r="E500" s="1">
        <v>15</v>
      </c>
      <c r="F500" s="3">
        <v>74973</v>
      </c>
      <c r="G500" s="3">
        <v>1124595</v>
      </c>
      <c r="H500" s="1" t="str">
        <f t="shared" si="14"/>
        <v>High</v>
      </c>
      <c r="I500" s="1" t="str">
        <f t="shared" si="15"/>
        <v>Phone</v>
      </c>
    </row>
    <row r="501" spans="1:9" ht="13.2" x14ac:dyDescent="0.25">
      <c r="A501" s="1">
        <v>500</v>
      </c>
      <c r="B501" s="1" t="s">
        <v>11</v>
      </c>
      <c r="C501" s="1" t="s">
        <v>12</v>
      </c>
      <c r="D501" s="1" t="s">
        <v>14</v>
      </c>
      <c r="E501" s="1">
        <v>9</v>
      </c>
      <c r="F501" s="3">
        <v>62352</v>
      </c>
      <c r="G501" s="3">
        <v>561168</v>
      </c>
      <c r="H501" s="1" t="str">
        <f t="shared" si="14"/>
        <v>Low</v>
      </c>
      <c r="I501" s="1" t="str">
        <f t="shared" si="15"/>
        <v>Phone</v>
      </c>
    </row>
  </sheetData>
  <mergeCells count="4">
    <mergeCell ref="M9:N9"/>
    <mergeCell ref="M5:O5"/>
    <mergeCell ref="N6:O6"/>
    <mergeCell ref="N7:O7"/>
  </mergeCell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B5FF5-2096-4DA8-9BA7-805B3D1CD335}">
  <sheetPr codeName="Sheet3"/>
  <dimension ref="A3:O11"/>
  <sheetViews>
    <sheetView workbookViewId="0">
      <selection activeCell="J9" sqref="J9:M10"/>
    </sheetView>
  </sheetViews>
  <sheetFormatPr defaultRowHeight="13.2" x14ac:dyDescent="0.25"/>
  <cols>
    <col min="1" max="1" width="15.5546875" bestFit="1" customWidth="1"/>
    <col min="2" max="2" width="19.5546875" bestFit="1" customWidth="1"/>
    <col min="5" max="5" width="2.33203125" customWidth="1"/>
    <col min="8" max="8" width="16.33203125" customWidth="1"/>
    <col min="13" max="13" width="11.6640625" customWidth="1"/>
    <col min="14" max="14" width="10.33203125" customWidth="1"/>
  </cols>
  <sheetData>
    <row r="3" spans="1:15" x14ac:dyDescent="0.25">
      <c r="A3" s="10" t="s">
        <v>32</v>
      </c>
      <c r="B3" s="11" t="s">
        <v>34</v>
      </c>
    </row>
    <row r="4" spans="1:15" x14ac:dyDescent="0.25">
      <c r="A4" s="7" t="s">
        <v>14</v>
      </c>
      <c r="B4" s="12">
        <v>119732129</v>
      </c>
    </row>
    <row r="5" spans="1:15" x14ac:dyDescent="0.25">
      <c r="A5" s="7" t="s">
        <v>9</v>
      </c>
      <c r="B5" s="12">
        <v>114476858</v>
      </c>
    </row>
    <row r="6" spans="1:15" x14ac:dyDescent="0.25">
      <c r="A6" s="7" t="s">
        <v>21</v>
      </c>
      <c r="B6" s="12">
        <v>100717295</v>
      </c>
    </row>
    <row r="7" spans="1:15" x14ac:dyDescent="0.25">
      <c r="A7" s="7" t="s">
        <v>13</v>
      </c>
      <c r="B7" s="12">
        <v>114016666</v>
      </c>
    </row>
    <row r="8" spans="1:15" x14ac:dyDescent="0.25">
      <c r="A8" s="7" t="s">
        <v>7</v>
      </c>
      <c r="B8" s="12">
        <v>82312860</v>
      </c>
    </row>
    <row r="9" spans="1:15" x14ac:dyDescent="0.25">
      <c r="A9" s="11" t="s">
        <v>33</v>
      </c>
      <c r="B9" s="13">
        <v>531255808</v>
      </c>
    </row>
    <row r="10" spans="1:15" ht="13.2" customHeight="1" x14ac:dyDescent="0.25"/>
    <row r="11" spans="1:15" ht="13.2" customHeight="1" x14ac:dyDescent="0.25">
      <c r="M11" s="19"/>
      <c r="N11" s="19"/>
      <c r="O11" s="19"/>
    </row>
  </sheetData>
  <sheetProtection algorithmName="SHA-512" hashValue="VBmDBh117308JWchIFkEFSUGuzI6TNpIOVZ2Nind+d4zjoJppPTL1hSCROS/DN2AS2vPlv/Dysf9mY1gGg9e2w==" saltValue="d9UdaeLvhmyY49nnxpo20g=="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5807E-8C88-4DFD-9CB3-F1CC0071592D}">
  <sheetPr codeName="Sheet4"/>
  <dimension ref="A3:B7"/>
  <sheetViews>
    <sheetView workbookViewId="0">
      <selection activeCell="A3" sqref="A3"/>
    </sheetView>
  </sheetViews>
  <sheetFormatPr defaultRowHeight="13.2" x14ac:dyDescent="0.25"/>
  <cols>
    <col min="1" max="1" width="13.44140625" bestFit="1" customWidth="1"/>
    <col min="2" max="3" width="17.33203125" bestFit="1" customWidth="1"/>
    <col min="4" max="4" width="19.5546875" bestFit="1" customWidth="1"/>
  </cols>
  <sheetData>
    <row r="3" spans="1:2" x14ac:dyDescent="0.25">
      <c r="A3" s="14" t="s">
        <v>30</v>
      </c>
      <c r="B3" s="7" t="s">
        <v>35</v>
      </c>
    </row>
    <row r="4" spans="1:2" x14ac:dyDescent="0.25">
      <c r="A4" s="7" t="s">
        <v>16</v>
      </c>
      <c r="B4" s="7">
        <v>1669</v>
      </c>
    </row>
    <row r="5" spans="1:2" x14ac:dyDescent="0.25">
      <c r="A5" s="7" t="s">
        <v>11</v>
      </c>
      <c r="B5" s="7">
        <v>1630</v>
      </c>
    </row>
    <row r="6" spans="1:2" x14ac:dyDescent="0.25">
      <c r="A6" s="7" t="s">
        <v>5</v>
      </c>
      <c r="B6" s="7">
        <v>1589</v>
      </c>
    </row>
    <row r="7" spans="1:2" x14ac:dyDescent="0.25">
      <c r="A7" s="7" t="s">
        <v>33</v>
      </c>
      <c r="B7" s="7">
        <v>4888</v>
      </c>
    </row>
  </sheetData>
  <sheetProtection algorithmName="SHA-512" hashValue="sbTL+SeBRHAaI6yqW41ppZddipjGbe8U/yV00ZVzZvQ5jzW4QYz+xVVO25FSkzdvIvxqUDY8xoB4eD5PR9dXfA==" saltValue="ZvC3bJJFKjvoKAx47IFBow=="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E257D-DD85-4046-B235-713624162AD5}">
  <sheetPr codeName="Sheet5"/>
  <dimension ref="A3:B13"/>
  <sheetViews>
    <sheetView zoomScale="70" workbookViewId="0">
      <selection activeCell="N9" sqref="N9"/>
    </sheetView>
  </sheetViews>
  <sheetFormatPr defaultRowHeight="13.2" x14ac:dyDescent="0.25"/>
  <cols>
    <col min="1" max="1" width="15.33203125" bestFit="1" customWidth="1"/>
    <col min="2" max="2" width="20.109375" bestFit="1" customWidth="1"/>
  </cols>
  <sheetData>
    <row r="3" spans="1:2" x14ac:dyDescent="0.25">
      <c r="A3" s="8" t="s">
        <v>32</v>
      </c>
      <c r="B3" t="s">
        <v>34</v>
      </c>
    </row>
    <row r="4" spans="1:2" x14ac:dyDescent="0.25">
      <c r="A4" s="9" t="s">
        <v>18</v>
      </c>
      <c r="B4" s="2">
        <v>38934670</v>
      </c>
    </row>
    <row r="5" spans="1:2" x14ac:dyDescent="0.25">
      <c r="A5" s="9" t="s">
        <v>17</v>
      </c>
      <c r="B5" s="2">
        <v>38852929</v>
      </c>
    </row>
    <row r="6" spans="1:2" x14ac:dyDescent="0.25">
      <c r="A6" s="9" t="s">
        <v>20</v>
      </c>
      <c r="B6" s="2">
        <v>34217089</v>
      </c>
    </row>
    <row r="7" spans="1:2" x14ac:dyDescent="0.25">
      <c r="A7" s="9" t="s">
        <v>12</v>
      </c>
      <c r="B7" s="2">
        <v>55473929</v>
      </c>
    </row>
    <row r="8" spans="1:2" x14ac:dyDescent="0.25">
      <c r="A8" s="9" t="s">
        <v>19</v>
      </c>
      <c r="B8" s="2">
        <v>50368439</v>
      </c>
    </row>
    <row r="9" spans="1:2" x14ac:dyDescent="0.25">
      <c r="A9" s="9" t="s">
        <v>15</v>
      </c>
      <c r="B9" s="2">
        <v>36146840</v>
      </c>
    </row>
    <row r="10" spans="1:2" x14ac:dyDescent="0.25">
      <c r="A10" s="9" t="s">
        <v>6</v>
      </c>
      <c r="B10" s="2">
        <v>92566387</v>
      </c>
    </row>
    <row r="11" spans="1:2" x14ac:dyDescent="0.25">
      <c r="A11" s="9" t="s">
        <v>10</v>
      </c>
      <c r="B11" s="2">
        <v>92109069</v>
      </c>
    </row>
    <row r="12" spans="1:2" x14ac:dyDescent="0.25">
      <c r="A12" s="9" t="s">
        <v>8</v>
      </c>
      <c r="B12" s="2">
        <v>92586456</v>
      </c>
    </row>
    <row r="13" spans="1:2" x14ac:dyDescent="0.25">
      <c r="A13" s="9" t="s">
        <v>33</v>
      </c>
      <c r="B13" s="2">
        <v>531255808</v>
      </c>
    </row>
  </sheetData>
  <sheetProtection algorithmName="SHA-512" hashValue="v/5eUEWWf2sV0AfixapXkX1GgLIdU+9Ehd2BW2KKkEfm+ko219CHkzL84pX8iCYnHDTuS7mIcqmRv8BTjEjLbw==" saltValue="h7+xv4K+J7KZK1p5DqIuvQ==" spinCount="100000" sheet="1" objects="1" scenarios="1" selectLockedCells="1" pivotTables="0" selectUnlockedCells="1"/>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F231F-2AB7-4D28-BBA8-FF9FAB09BB75}">
  <sheetPr codeName="Sheet6"/>
  <dimension ref="A3:K10"/>
  <sheetViews>
    <sheetView workbookViewId="0">
      <selection activeCell="H34" sqref="H34"/>
    </sheetView>
  </sheetViews>
  <sheetFormatPr defaultRowHeight="13.2" x14ac:dyDescent="0.25"/>
  <cols>
    <col min="1" max="1" width="17.33203125" bestFit="1" customWidth="1"/>
    <col min="2" max="2" width="16.21875" bestFit="1" customWidth="1"/>
    <col min="3" max="3" width="8.77734375" bestFit="1" customWidth="1"/>
    <col min="4" max="4" width="8.44140625" bestFit="1" customWidth="1"/>
    <col min="5" max="7" width="9.5546875" bestFit="1" customWidth="1"/>
    <col min="8" max="8" width="12" bestFit="1" customWidth="1"/>
    <col min="9" max="10" width="15.33203125" bestFit="1" customWidth="1"/>
    <col min="11" max="11" width="11.33203125" bestFit="1" customWidth="1"/>
  </cols>
  <sheetData>
    <row r="3" spans="1:11" x14ac:dyDescent="0.25">
      <c r="A3" s="8" t="s">
        <v>35</v>
      </c>
      <c r="B3" s="8" t="s">
        <v>36</v>
      </c>
    </row>
    <row r="4" spans="1:11" x14ac:dyDescent="0.25">
      <c r="A4" s="8" t="s">
        <v>32</v>
      </c>
      <c r="B4" t="s">
        <v>18</v>
      </c>
      <c r="C4" t="s">
        <v>17</v>
      </c>
      <c r="D4" t="s">
        <v>20</v>
      </c>
      <c r="E4" t="s">
        <v>12</v>
      </c>
      <c r="F4" t="s">
        <v>19</v>
      </c>
      <c r="G4" t="s">
        <v>15</v>
      </c>
      <c r="H4" t="s">
        <v>6</v>
      </c>
      <c r="I4" t="s">
        <v>10</v>
      </c>
      <c r="J4" t="s">
        <v>8</v>
      </c>
      <c r="K4" t="s">
        <v>33</v>
      </c>
    </row>
    <row r="5" spans="1:11" x14ac:dyDescent="0.25">
      <c r="A5" s="9" t="s">
        <v>14</v>
      </c>
      <c r="B5">
        <v>165</v>
      </c>
      <c r="C5">
        <v>97</v>
      </c>
      <c r="D5">
        <v>96</v>
      </c>
      <c r="E5">
        <v>134</v>
      </c>
      <c r="F5">
        <v>103</v>
      </c>
      <c r="G5">
        <v>132</v>
      </c>
      <c r="H5">
        <v>138</v>
      </c>
      <c r="I5">
        <v>167</v>
      </c>
      <c r="J5">
        <v>53</v>
      </c>
      <c r="K5">
        <v>1085</v>
      </c>
    </row>
    <row r="6" spans="1:11" x14ac:dyDescent="0.25">
      <c r="A6" s="9" t="s">
        <v>9</v>
      </c>
      <c r="B6">
        <v>150</v>
      </c>
      <c r="C6">
        <v>121</v>
      </c>
      <c r="D6">
        <v>132</v>
      </c>
      <c r="E6">
        <v>134</v>
      </c>
      <c r="F6">
        <v>89</v>
      </c>
      <c r="G6">
        <v>85</v>
      </c>
      <c r="H6">
        <v>121</v>
      </c>
      <c r="I6">
        <v>127</v>
      </c>
      <c r="J6">
        <v>102</v>
      </c>
      <c r="K6">
        <v>1061</v>
      </c>
    </row>
    <row r="7" spans="1:11" x14ac:dyDescent="0.25">
      <c r="A7" s="9" t="s">
        <v>21</v>
      </c>
      <c r="B7">
        <v>40</v>
      </c>
      <c r="C7">
        <v>110</v>
      </c>
      <c r="D7">
        <v>114</v>
      </c>
      <c r="E7">
        <v>110</v>
      </c>
      <c r="F7">
        <v>143</v>
      </c>
      <c r="G7">
        <v>69</v>
      </c>
      <c r="H7">
        <v>53</v>
      </c>
      <c r="I7">
        <v>93</v>
      </c>
      <c r="J7">
        <v>165</v>
      </c>
      <c r="K7">
        <v>897</v>
      </c>
    </row>
    <row r="8" spans="1:11" x14ac:dyDescent="0.25">
      <c r="A8" s="9" t="s">
        <v>13</v>
      </c>
      <c r="B8">
        <v>127</v>
      </c>
      <c r="C8">
        <v>125</v>
      </c>
      <c r="D8">
        <v>126</v>
      </c>
      <c r="E8">
        <v>121</v>
      </c>
      <c r="F8">
        <v>117</v>
      </c>
      <c r="G8">
        <v>52</v>
      </c>
      <c r="H8">
        <v>124</v>
      </c>
      <c r="I8">
        <v>89</v>
      </c>
      <c r="J8">
        <v>149</v>
      </c>
      <c r="K8">
        <v>1030</v>
      </c>
    </row>
    <row r="9" spans="1:11" x14ac:dyDescent="0.25">
      <c r="A9" s="9" t="s">
        <v>7</v>
      </c>
      <c r="B9">
        <v>87</v>
      </c>
      <c r="C9">
        <v>123</v>
      </c>
      <c r="D9">
        <v>56</v>
      </c>
      <c r="E9">
        <v>138</v>
      </c>
      <c r="F9">
        <v>118</v>
      </c>
      <c r="G9">
        <v>85</v>
      </c>
      <c r="H9">
        <v>104</v>
      </c>
      <c r="I9">
        <v>79</v>
      </c>
      <c r="J9">
        <v>25</v>
      </c>
      <c r="K9">
        <v>815</v>
      </c>
    </row>
    <row r="10" spans="1:11" x14ac:dyDescent="0.25">
      <c r="A10" s="9" t="s">
        <v>33</v>
      </c>
      <c r="B10">
        <v>569</v>
      </c>
      <c r="C10">
        <v>576</v>
      </c>
      <c r="D10">
        <v>524</v>
      </c>
      <c r="E10">
        <v>637</v>
      </c>
      <c r="F10">
        <v>570</v>
      </c>
      <c r="G10">
        <v>423</v>
      </c>
      <c r="H10">
        <v>540</v>
      </c>
      <c r="I10">
        <v>555</v>
      </c>
      <c r="J10">
        <v>494</v>
      </c>
      <c r="K10">
        <v>4888</v>
      </c>
    </row>
  </sheetData>
  <sheetProtection algorithmName="SHA-512" hashValue="uOS2t2+4XYDD4jlXA1Ha8CuEPy+YoAuSmXX6sVEmt4QP5oRzrFshMlDomKcq2I+7HLMnGVxrn7NSpYDE2P/t/A==" saltValue="mM/LKwYtdLPUgPfTzgRkLA==" spinCount="100000" sheet="1" objects="1" scenarios="1" selectLockedCells="1" pivotTables="0" selectUnlockedCells="1"/>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Apple Data Cleaning and Formula</vt:lpstr>
      <vt:lpstr>Total Revenue BY Region</vt:lpstr>
      <vt:lpstr>Unit Sold BY Products</vt:lpstr>
      <vt:lpstr>P_Model &amp; Revenue</vt:lpstr>
      <vt:lpstr>Region Wise Top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 Sales</dc:title>
  <dc:creator>Trivedi Man</dc:creator>
  <cp:lastModifiedBy>man trivedi</cp:lastModifiedBy>
  <dcterms:modified xsi:type="dcterms:W3CDTF">2026-02-09T05:48:25Z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